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B02A7947-62B6-F349-A250-D34DECCB595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Жүктеме 2025-2026" sheetId="1" r:id="rId1"/>
    <sheet name="ТУП сілтеме" sheetId="2" r:id="rId2"/>
    <sheet name="Кабинеттер тізімі" sheetId="3" r:id="rId3"/>
    <sheet name="Күн тәртібі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" i="1" l="1"/>
  <c r="N100" i="1"/>
  <c r="S99" i="1"/>
  <c r="N99" i="1"/>
  <c r="S98" i="1"/>
  <c r="N98" i="1"/>
  <c r="T98" i="1" s="1"/>
  <c r="S97" i="1"/>
  <c r="N97" i="1"/>
  <c r="S96" i="1"/>
  <c r="N96" i="1"/>
  <c r="T96" i="1" s="1"/>
  <c r="S94" i="1"/>
  <c r="S95" i="1"/>
  <c r="N95" i="1"/>
  <c r="N94" i="1"/>
  <c r="S93" i="1"/>
  <c r="N93" i="1"/>
  <c r="T93" i="1" s="1"/>
  <c r="S92" i="1"/>
  <c r="N92" i="1"/>
  <c r="S91" i="1"/>
  <c r="N91" i="1"/>
  <c r="T91" i="1" s="1"/>
  <c r="S90" i="1"/>
  <c r="N90" i="1"/>
  <c r="T90" i="1" s="1"/>
  <c r="S89" i="1"/>
  <c r="T89" i="1" s="1"/>
  <c r="U89" i="1" s="1"/>
  <c r="S88" i="1"/>
  <c r="N88" i="1"/>
  <c r="S87" i="1"/>
  <c r="N87" i="1"/>
  <c r="S86" i="1"/>
  <c r="N86" i="1"/>
  <c r="S85" i="1"/>
  <c r="N85" i="1"/>
  <c r="T85" i="1" s="1"/>
  <c r="S84" i="1"/>
  <c r="N84" i="1"/>
  <c r="T84" i="1" s="1"/>
  <c r="S83" i="1"/>
  <c r="N83" i="1"/>
  <c r="S82" i="1"/>
  <c r="N82" i="1"/>
  <c r="T82" i="1" s="1"/>
  <c r="S81" i="1"/>
  <c r="N81" i="1"/>
  <c r="S80" i="1"/>
  <c r="N80" i="1"/>
  <c r="S79" i="1"/>
  <c r="N79" i="1"/>
  <c r="T79" i="1" s="1"/>
  <c r="S78" i="1"/>
  <c r="N78" i="1"/>
  <c r="T78" i="1" s="1"/>
  <c r="S77" i="1"/>
  <c r="N77" i="1"/>
  <c r="S76" i="1"/>
  <c r="N76" i="1"/>
  <c r="T76" i="1" s="1"/>
  <c r="S75" i="1"/>
  <c r="N75" i="1"/>
  <c r="T75" i="1" s="1"/>
  <c r="S74" i="1"/>
  <c r="N74" i="1"/>
  <c r="S73" i="1"/>
  <c r="N73" i="1"/>
  <c r="S72" i="1"/>
  <c r="N72" i="1"/>
  <c r="S71" i="1"/>
  <c r="N71" i="1"/>
  <c r="S70" i="1"/>
  <c r="N70" i="1"/>
  <c r="T70" i="1" s="1"/>
  <c r="S69" i="1"/>
  <c r="N69" i="1"/>
  <c r="T69" i="1" s="1"/>
  <c r="U69" i="1" s="1"/>
  <c r="S68" i="1"/>
  <c r="N68" i="1"/>
  <c r="T68" i="1" s="1"/>
  <c r="U68" i="1" s="1"/>
  <c r="S67" i="1"/>
  <c r="N67" i="1"/>
  <c r="S66" i="1"/>
  <c r="N66" i="1"/>
  <c r="T66" i="1" s="1"/>
  <c r="S65" i="1"/>
  <c r="N65" i="1"/>
  <c r="S64" i="1"/>
  <c r="N64" i="1"/>
  <c r="S63" i="1"/>
  <c r="N63" i="1"/>
  <c r="T63" i="1" s="1"/>
  <c r="S62" i="1"/>
  <c r="N62" i="1"/>
  <c r="S61" i="1"/>
  <c r="N61" i="1"/>
  <c r="T61" i="1" s="1"/>
  <c r="S60" i="1"/>
  <c r="N60" i="1"/>
  <c r="S59" i="1"/>
  <c r="N59" i="1"/>
  <c r="S58" i="1"/>
  <c r="N58" i="1"/>
  <c r="T58" i="1" s="1"/>
  <c r="S57" i="1"/>
  <c r="N57" i="1"/>
  <c r="T57" i="1" s="1"/>
  <c r="S56" i="1"/>
  <c r="N56" i="1"/>
  <c r="S55" i="1"/>
  <c r="N55" i="1"/>
  <c r="T55" i="1" s="1"/>
  <c r="S54" i="1"/>
  <c r="N54" i="1"/>
  <c r="T54" i="1" s="1"/>
  <c r="S53" i="1"/>
  <c r="N53" i="1"/>
  <c r="S52" i="1"/>
  <c r="N52" i="1"/>
  <c r="S51" i="1"/>
  <c r="N51" i="1"/>
  <c r="T51" i="1" s="1"/>
  <c r="S50" i="1"/>
  <c r="N50" i="1"/>
  <c r="S49" i="1"/>
  <c r="N49" i="1"/>
  <c r="T49" i="1" s="1"/>
  <c r="S48" i="1"/>
  <c r="N48" i="1"/>
  <c r="T48" i="1" s="1"/>
  <c r="S47" i="1"/>
  <c r="N47" i="1"/>
  <c r="S46" i="1"/>
  <c r="N46" i="1"/>
  <c r="T46" i="1" s="1"/>
  <c r="S45" i="1"/>
  <c r="N45" i="1"/>
  <c r="S44" i="1"/>
  <c r="N44" i="1"/>
  <c r="T44" i="1" s="1"/>
  <c r="S43" i="1"/>
  <c r="N43" i="1"/>
  <c r="T43" i="1" s="1"/>
  <c r="S42" i="1"/>
  <c r="N42" i="1"/>
  <c r="T42" i="1" s="1"/>
  <c r="S41" i="1"/>
  <c r="N41" i="1"/>
  <c r="S40" i="1"/>
  <c r="N40" i="1"/>
  <c r="T40" i="1" s="1"/>
  <c r="S39" i="1"/>
  <c r="N39" i="1"/>
  <c r="S38" i="1"/>
  <c r="N38" i="1"/>
  <c r="T38" i="1" s="1"/>
  <c r="S37" i="1"/>
  <c r="N37" i="1"/>
  <c r="T37" i="1" s="1"/>
  <c r="S36" i="1"/>
  <c r="N36" i="1"/>
  <c r="T36" i="1" s="1"/>
  <c r="U36" i="1" s="1"/>
  <c r="S35" i="1"/>
  <c r="N35" i="1"/>
  <c r="S34" i="1"/>
  <c r="N34" i="1"/>
  <c r="T34" i="1" s="1"/>
  <c r="S33" i="1"/>
  <c r="N33" i="1"/>
  <c r="T33" i="1" s="1"/>
  <c r="S32" i="1"/>
  <c r="N32" i="1"/>
  <c r="S31" i="1"/>
  <c r="N31" i="1"/>
  <c r="T31" i="1" s="1"/>
  <c r="S30" i="1"/>
  <c r="N30" i="1"/>
  <c r="T30" i="1" s="1"/>
  <c r="S29" i="1"/>
  <c r="N29" i="1"/>
  <c r="S28" i="1"/>
  <c r="N28" i="1"/>
  <c r="S27" i="1"/>
  <c r="N27" i="1"/>
  <c r="S26" i="1"/>
  <c r="N26" i="1"/>
  <c r="T26" i="1" s="1"/>
  <c r="S25" i="1"/>
  <c r="N25" i="1"/>
  <c r="T25" i="1" s="1"/>
  <c r="S24" i="1"/>
  <c r="N24" i="1"/>
  <c r="T24" i="1" s="1"/>
  <c r="S23" i="1"/>
  <c r="N23" i="1"/>
  <c r="S22" i="1"/>
  <c r="N22" i="1"/>
  <c r="T22" i="1" s="1"/>
  <c r="S21" i="1"/>
  <c r="N21" i="1"/>
  <c r="S20" i="1"/>
  <c r="N20" i="1"/>
  <c r="T20" i="1" s="1"/>
  <c r="S19" i="1"/>
  <c r="N19" i="1"/>
  <c r="T19" i="1" s="1"/>
  <c r="S18" i="1"/>
  <c r="N18" i="1"/>
  <c r="T18" i="1" s="1"/>
  <c r="S17" i="1"/>
  <c r="N17" i="1"/>
  <c r="S16" i="1"/>
  <c r="N16" i="1"/>
  <c r="S15" i="1"/>
  <c r="N15" i="1"/>
  <c r="S14" i="1"/>
  <c r="N14" i="1"/>
  <c r="T14" i="1" s="1"/>
  <c r="S13" i="1"/>
  <c r="N13" i="1"/>
  <c r="T13" i="1" s="1"/>
  <c r="S12" i="1"/>
  <c r="N12" i="1"/>
  <c r="T12" i="1" s="1"/>
  <c r="S11" i="1"/>
  <c r="N11" i="1"/>
  <c r="S10" i="1"/>
  <c r="N10" i="1"/>
  <c r="T10" i="1" s="1"/>
  <c r="S9" i="1"/>
  <c r="N9" i="1"/>
  <c r="S8" i="1"/>
  <c r="N8" i="1"/>
  <c r="S7" i="1"/>
  <c r="N7" i="1"/>
  <c r="T7" i="1" s="1"/>
  <c r="S6" i="1"/>
  <c r="N6" i="1"/>
  <c r="S5" i="1"/>
  <c r="N5" i="1"/>
  <c r="S4" i="1"/>
  <c r="N4" i="1"/>
  <c r="T4" i="1" s="1"/>
  <c r="S3" i="1"/>
  <c r="N3" i="1"/>
  <c r="U78" i="1" l="1"/>
  <c r="T86" i="1"/>
  <c r="T45" i="1"/>
  <c r="T100" i="1"/>
  <c r="T87" i="1"/>
  <c r="U87" i="1" s="1"/>
  <c r="T60" i="1"/>
  <c r="T88" i="1"/>
  <c r="U88" i="1" s="1"/>
  <c r="T16" i="1"/>
  <c r="T27" i="1"/>
  <c r="U25" i="1" s="1"/>
  <c r="T99" i="1"/>
  <c r="T95" i="1"/>
  <c r="T94" i="1"/>
  <c r="U94" i="1" s="1"/>
  <c r="T97" i="1"/>
  <c r="U96" i="1" s="1"/>
  <c r="T92" i="1"/>
  <c r="U90" i="1"/>
  <c r="T52" i="1"/>
  <c r="T83" i="1"/>
  <c r="U82" i="1" s="1"/>
  <c r="U85" i="1"/>
  <c r="T80" i="1"/>
  <c r="T5" i="1"/>
  <c r="T11" i="1"/>
  <c r="T17" i="1"/>
  <c r="T23" i="1"/>
  <c r="T29" i="1"/>
  <c r="T35" i="1"/>
  <c r="U33" i="1" s="1"/>
  <c r="T41" i="1"/>
  <c r="U41" i="1" s="1"/>
  <c r="T47" i="1"/>
  <c r="U45" i="1" s="1"/>
  <c r="T53" i="1"/>
  <c r="U53" i="1" s="1"/>
  <c r="T59" i="1"/>
  <c r="U59" i="1" s="1"/>
  <c r="T65" i="1"/>
  <c r="T71" i="1"/>
  <c r="U70" i="1" s="1"/>
  <c r="T77" i="1"/>
  <c r="U76" i="1" s="1"/>
  <c r="T50" i="1"/>
  <c r="T62" i="1"/>
  <c r="T21" i="1"/>
  <c r="U19" i="1" s="1"/>
  <c r="T39" i="1"/>
  <c r="U37" i="1" s="1"/>
  <c r="T28" i="1"/>
  <c r="T74" i="1"/>
  <c r="U74" i="1" s="1"/>
  <c r="T64" i="1"/>
  <c r="T6" i="1"/>
  <c r="T81" i="1"/>
  <c r="T3" i="1"/>
  <c r="T9" i="1"/>
  <c r="T15" i="1"/>
  <c r="T32" i="1"/>
  <c r="U31" i="1" s="1"/>
  <c r="T56" i="1"/>
  <c r="U56" i="1" s="1"/>
  <c r="T67" i="1"/>
  <c r="T72" i="1"/>
  <c r="T73" i="1"/>
  <c r="T8" i="1"/>
  <c r="U62" i="1" l="1"/>
  <c r="U72" i="1"/>
  <c r="U28" i="1"/>
  <c r="U49" i="1"/>
  <c r="U14" i="1"/>
  <c r="U9" i="1"/>
  <c r="U65" i="1"/>
  <c r="U80" i="1"/>
  <c r="U5" i="1"/>
</calcChain>
</file>

<file path=xl/sharedStrings.xml><?xml version="1.0" encoding="utf-8"?>
<sst xmlns="http://schemas.openxmlformats.org/spreadsheetml/2006/main" count="255" uniqueCount="134">
  <si>
    <t>№</t>
  </si>
  <si>
    <t>Диплом бойынша мамандығы
(нешінші курс студенті)</t>
  </si>
  <si>
    <t>Пән атауы</t>
  </si>
  <si>
    <t>7A</t>
  </si>
  <si>
    <t>7B</t>
  </si>
  <si>
    <t>7C</t>
  </si>
  <si>
    <t>8A</t>
  </si>
  <si>
    <t>8B</t>
  </si>
  <si>
    <t>8C</t>
  </si>
  <si>
    <t>8Д</t>
  </si>
  <si>
    <t>9A</t>
  </si>
  <si>
    <t>9B</t>
  </si>
  <si>
    <t>7-9
кл.</t>
  </si>
  <si>
    <t>10A</t>
  </si>
  <si>
    <t>10B</t>
  </si>
  <si>
    <t>11A</t>
  </si>
  <si>
    <t>11B</t>
  </si>
  <si>
    <t>10-11
кл.</t>
  </si>
  <si>
    <t>Барлығы</t>
  </si>
  <si>
    <t>Апталық жүктеме</t>
  </si>
  <si>
    <t>оқушылар саны</t>
  </si>
  <si>
    <t>Нажмадинов Марат</t>
  </si>
  <si>
    <t>алгебра</t>
  </si>
  <si>
    <t>геометрия</t>
  </si>
  <si>
    <t>ҰБТ</t>
  </si>
  <si>
    <t>мат.сау</t>
  </si>
  <si>
    <t>қосымша</t>
  </si>
  <si>
    <t>Есалина Айзада</t>
  </si>
  <si>
    <t>Даулетбаева Сая</t>
  </si>
  <si>
    <t>Жоламан Мейрамбек</t>
  </si>
  <si>
    <t>қарж сауат</t>
  </si>
  <si>
    <t>Сулейманов Бегдулла</t>
  </si>
  <si>
    <t>физика</t>
  </si>
  <si>
    <t>Сунгариева Айгерим Бисенбаевна</t>
  </si>
  <si>
    <t>информатика</t>
  </si>
  <si>
    <t>программалау</t>
  </si>
  <si>
    <t>Сапар Елжан Шакизадаұлы</t>
  </si>
  <si>
    <t>робототехника</t>
  </si>
  <si>
    <t>Балтабай Жанболат Бекболатұлы</t>
  </si>
  <si>
    <t>қазақстан тарихы</t>
  </si>
  <si>
    <t>дүниежүзі тарихы</t>
  </si>
  <si>
    <t>ҰБТ Қ.тарих</t>
  </si>
  <si>
    <t>ҰБТ ДЖ.тарих</t>
  </si>
  <si>
    <t>Қангерей Қанат</t>
  </si>
  <si>
    <t>құқық негіздері</t>
  </si>
  <si>
    <t>ҰБТ құқық</t>
  </si>
  <si>
    <t>Ақырап Ақерке</t>
  </si>
  <si>
    <t>IELTS</t>
  </si>
  <si>
    <t>ағылшын тілі/ҰБТ</t>
  </si>
  <si>
    <t>олимпиада</t>
  </si>
  <si>
    <t>Таңатар Мадина</t>
  </si>
  <si>
    <t>Қайыржанова Аружан</t>
  </si>
  <si>
    <t>ағылшын тілі</t>
  </si>
  <si>
    <t>китайский</t>
  </si>
  <si>
    <t>Халелова Анель(куратор)</t>
  </si>
  <si>
    <t>қазақ тілі</t>
  </si>
  <si>
    <t>қазақ әдебиеті</t>
  </si>
  <si>
    <t>Ж.құзырет</t>
  </si>
  <si>
    <t>Бактыгулов Аманжол</t>
  </si>
  <si>
    <t>Абайтану</t>
  </si>
  <si>
    <t>Утенова Куралай</t>
  </si>
  <si>
    <t>Абайтану/</t>
  </si>
  <si>
    <t>Жомартова Айым Кайратқызы(куратор)</t>
  </si>
  <si>
    <t>Матигулова Гульсара Бактыбергеновна</t>
  </si>
  <si>
    <t>орыс тілі мен әдебиеті</t>
  </si>
  <si>
    <t>Гореева Альфия Махмудовна(AIS)(до обеда)</t>
  </si>
  <si>
    <t>Жадырасын Ернұр</t>
  </si>
  <si>
    <t>география</t>
  </si>
  <si>
    <t>қосымша/ҰБТ</t>
  </si>
  <si>
    <t>Караева Аружан</t>
  </si>
  <si>
    <t>биология</t>
  </si>
  <si>
    <t>Қайырқұлов Нұрсұлтан Амангелдіұлы</t>
  </si>
  <si>
    <t>Шарафадинова Айжан Мырзабекқызы</t>
  </si>
  <si>
    <t>Аділов Тлепберген Бекболұлы</t>
  </si>
  <si>
    <t>дене тәрбиесі</t>
  </si>
  <si>
    <t>дене шынықтыру: спорттық ойындар</t>
  </si>
  <si>
    <t>Қарабай Айбат Нұрлыбайұлы</t>
  </si>
  <si>
    <t>Назаров Дастан</t>
  </si>
  <si>
    <t>химия</t>
  </si>
  <si>
    <t>Аманғазы Сәнім</t>
  </si>
  <si>
    <t>Қойшан Ырысжан Асқарбекқызы</t>
  </si>
  <si>
    <t>көркем еңбек</t>
  </si>
  <si>
    <t>Қазиев Нұртлеу</t>
  </si>
  <si>
    <t>Сарқытбаев Н.</t>
  </si>
  <si>
    <t>АӘД</t>
  </si>
  <si>
    <t>https://adilet.zan.kz/kaz/docs/V1200008170#z105</t>
  </si>
  <si>
    <t>https://adilet.zan.kz/kaz/docs/V1200008170#z172</t>
  </si>
  <si>
    <t>Кабинет</t>
  </si>
  <si>
    <t>Қабат</t>
  </si>
  <si>
    <t>Орын саны</t>
  </si>
  <si>
    <t>Класс</t>
  </si>
  <si>
    <t>Кабинет меңгерушісі</t>
  </si>
  <si>
    <t>Сипаттама</t>
  </si>
  <si>
    <t>математика</t>
  </si>
  <si>
    <t>Сарин Еркін</t>
  </si>
  <si>
    <t>Қайырқұлов Нұрсұлтан</t>
  </si>
  <si>
    <t>Сулейманов Бегдулла
Сунгариева Айгерим</t>
  </si>
  <si>
    <t>8D</t>
  </si>
  <si>
    <t>қазақ-тілі</t>
  </si>
  <si>
    <t>орыс-тілі</t>
  </si>
  <si>
    <t>ағылшын</t>
  </si>
  <si>
    <t>Балтабай Жанболат</t>
  </si>
  <si>
    <t>тарих</t>
  </si>
  <si>
    <t>Қойшан Ырысжан</t>
  </si>
  <si>
    <t>құқық</t>
  </si>
  <si>
    <t>Сабақ</t>
  </si>
  <si>
    <t>Уақыт/шара</t>
  </si>
  <si>
    <t>08.00–08.45</t>
  </si>
  <si>
    <t>Таңғы ас 7–8 кл 8.45–9.05</t>
  </si>
  <si>
    <t>09.05–09.50</t>
  </si>
  <si>
    <t>Таңғы ас 9–10–11 кл 9.50–10.10</t>
  </si>
  <si>
    <t>10.10–10:55</t>
  </si>
  <si>
    <t>11.00–11:45</t>
  </si>
  <si>
    <t>11.50–12:35</t>
  </si>
  <si>
    <t>Түскі ас 7–8 кл 12.35–13.00</t>
  </si>
  <si>
    <t>13.00-13.45</t>
  </si>
  <si>
    <t>Түскі ас 9–10–11 кл 13.45 - 14.10</t>
  </si>
  <si>
    <t>14.10–14.55</t>
  </si>
  <si>
    <t>15.00–15.45</t>
  </si>
  <si>
    <t>15.50–16.30</t>
  </si>
  <si>
    <t>16.30–16.50</t>
  </si>
  <si>
    <t>16.50–17.20</t>
  </si>
  <si>
    <t>17.25–18.05</t>
  </si>
  <si>
    <t xml:space="preserve"> </t>
  </si>
  <si>
    <t>Иван Оралсын</t>
  </si>
  <si>
    <t>Ерлан Қуанович</t>
  </si>
  <si>
    <t>Байдирахманова Б.С</t>
  </si>
  <si>
    <t>Жаулбаев А.З.</t>
  </si>
  <si>
    <t xml:space="preserve">профориентация </t>
  </si>
  <si>
    <t>Душманова А.Қ.</t>
  </si>
  <si>
    <t>психология</t>
  </si>
  <si>
    <t>Арыстанғалиқызы Ақмарал</t>
  </si>
  <si>
    <t>Ахметова Индира</t>
  </si>
  <si>
    <t xml:space="preserve">Бекітемін:               директордың м.а. Ахметова С.П.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</si>
</sst>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3"/>
      <color rgb="FF000000"/>
      <name val="'Times New Roman'"/>
    </font>
    <font>
      <b/>
      <sz val="12"/>
      <color rgb="FF000000"/>
      <name val="'Times New Roman'"/>
    </font>
    <font>
      <sz val="12"/>
      <color rgb="FF000000"/>
      <name val="'Times New Roman'"/>
    </font>
    <font>
      <sz val="12"/>
      <color theme="1"/>
      <name val="Arial"/>
      <family val="2"/>
      <scheme val="minor"/>
    </font>
    <font>
      <b/>
      <sz val="1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u/>
      <sz val="10"/>
      <color theme="1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9CB9C"/>
      </patternFill>
    </fill>
    <fill>
      <patternFill patternType="solid">
        <fgColor rgb="FFF9CB9C"/>
        <bgColor rgb="FFFFFF00"/>
      </patternFill>
    </fill>
    <fill>
      <patternFill patternType="solid">
        <fgColor rgb="FFD9EAD3"/>
        <bgColor rgb="FFFFFF00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FFFF00"/>
      </patternFill>
    </fill>
    <fill>
      <patternFill patternType="solid">
        <fgColor rgb="FFF9CB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rgb="FFF9CB9C"/>
      </patternFill>
    </fill>
    <fill>
      <patternFill patternType="solid">
        <fgColor rgb="FFFFFF00"/>
        <bgColor rgb="FFD9EAD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F9900"/>
      </bottom>
      <diagonal/>
    </border>
    <border>
      <left/>
      <right/>
      <top/>
      <bottom style="thin">
        <color rgb="FFFF9900"/>
      </bottom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/>
      <right style="thin">
        <color rgb="FFFF9900"/>
      </right>
      <top/>
      <bottom style="thin">
        <color rgb="FFFF99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6">
    <xf numFmtId="0" fontId="0" fillId="0" borderId="0" xfId="0"/>
    <xf numFmtId="0" fontId="2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5" borderId="0" xfId="0" applyFont="1" applyFill="1"/>
    <xf numFmtId="0" fontId="1" fillId="5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3" xfId="0" applyFont="1" applyFill="1" applyBorder="1"/>
    <xf numFmtId="0" fontId="1" fillId="6" borderId="6" xfId="0" applyFont="1" applyFill="1" applyBorder="1"/>
    <xf numFmtId="0" fontId="1" fillId="6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0" fillId="8" borderId="0" xfId="0" applyFill="1"/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0" fontId="0" fillId="0" borderId="7" xfId="0" applyBorder="1"/>
    <xf numFmtId="0" fontId="1" fillId="0" borderId="7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1" fillId="0" borderId="7" xfId="0" applyFont="1" applyBorder="1"/>
    <xf numFmtId="0" fontId="2" fillId="5" borderId="7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1" fillId="8" borderId="7" xfId="0" applyFont="1" applyFill="1" applyBorder="1" applyAlignment="1">
      <alignment horizontal="left" vertical="top"/>
    </xf>
    <xf numFmtId="0" fontId="1" fillId="8" borderId="7" xfId="0" applyFont="1" applyFill="1" applyBorder="1" applyAlignment="1">
      <alignment horizontal="center" vertical="top"/>
    </xf>
    <xf numFmtId="0" fontId="1" fillId="9" borderId="7" xfId="0" applyFont="1" applyFill="1" applyBorder="1" applyAlignment="1">
      <alignment horizontal="center" vertical="top"/>
    </xf>
    <xf numFmtId="0" fontId="1" fillId="8" borderId="7" xfId="0" applyFont="1" applyFill="1" applyBorder="1"/>
    <xf numFmtId="0" fontId="2" fillId="10" borderId="7" xfId="0" applyFont="1" applyFill="1" applyBorder="1" applyAlignment="1">
      <alignment horizontal="center" vertical="top"/>
    </xf>
    <xf numFmtId="0" fontId="2" fillId="11" borderId="7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center" vertical="top"/>
    </xf>
    <xf numFmtId="0" fontId="1" fillId="6" borderId="7" xfId="0" applyFont="1" applyFill="1" applyBorder="1"/>
    <xf numFmtId="0" fontId="2" fillId="6" borderId="7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/>
    <xf numFmtId="0" fontId="1" fillId="0" borderId="7" xfId="0" applyFont="1" applyBorder="1" applyAlignment="1">
      <alignment horizontal="center"/>
    </xf>
    <xf numFmtId="0" fontId="2" fillId="2" borderId="7" xfId="0" applyFont="1" applyFill="1" applyBorder="1"/>
    <xf numFmtId="0" fontId="1" fillId="9" borderId="7" xfId="0" applyFont="1" applyFill="1" applyBorder="1" applyAlignment="1">
      <alignment horizontal="left" vertical="top"/>
    </xf>
    <xf numFmtId="0" fontId="2" fillId="9" borderId="7" xfId="0" applyFont="1" applyFill="1" applyBorder="1" applyAlignment="1">
      <alignment horizontal="center" vertical="top"/>
    </xf>
    <xf numFmtId="0" fontId="2" fillId="9" borderId="7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1" fillId="9" borderId="0" xfId="0" applyFont="1" applyFill="1"/>
    <xf numFmtId="0" fontId="1" fillId="9" borderId="3" xfId="0" applyFont="1" applyFill="1" applyBorder="1"/>
    <xf numFmtId="0" fontId="0" fillId="8" borderId="7" xfId="0" applyFill="1" applyBorder="1"/>
    <xf numFmtId="0" fontId="2" fillId="12" borderId="7" xfId="0" applyFont="1" applyFill="1" applyBorder="1" applyAlignment="1">
      <alignment horizontal="center" vertical="top"/>
    </xf>
    <xf numFmtId="0" fontId="2" fillId="14" borderId="7" xfId="0" applyFont="1" applyFill="1" applyBorder="1" applyAlignment="1">
      <alignment horizontal="center" vertical="top"/>
    </xf>
    <xf numFmtId="0" fontId="2" fillId="15" borderId="7" xfId="0" applyFont="1" applyFill="1" applyBorder="1" applyAlignment="1">
      <alignment horizontal="center" vertical="top"/>
    </xf>
    <xf numFmtId="0" fontId="2" fillId="16" borderId="7" xfId="0" applyFont="1" applyFill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0" fillId="18" borderId="0" xfId="0" applyFill="1"/>
    <xf numFmtId="0" fontId="2" fillId="19" borderId="7" xfId="0" applyFont="1" applyFill="1" applyBorder="1" applyAlignment="1">
      <alignment horizontal="center" vertical="top"/>
    </xf>
    <xf numFmtId="0" fontId="2" fillId="20" borderId="7" xfId="0" applyFont="1" applyFill="1" applyBorder="1" applyAlignment="1">
      <alignment horizontal="center" vertical="top"/>
    </xf>
    <xf numFmtId="0" fontId="2" fillId="21" borderId="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left" vertical="top"/>
    </xf>
    <xf numFmtId="0" fontId="1" fillId="18" borderId="7" xfId="0" applyFont="1" applyFill="1" applyBorder="1" applyAlignment="1">
      <alignment horizontal="center" vertical="top"/>
    </xf>
    <xf numFmtId="0" fontId="11" fillId="0" borderId="0" xfId="1"/>
    <xf numFmtId="0" fontId="0" fillId="0" borderId="11" xfId="0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17" borderId="8" xfId="0" applyFont="1" applyFill="1" applyBorder="1" applyAlignment="1">
      <alignment horizontal="center"/>
    </xf>
    <xf numFmtId="0" fontId="2" fillId="17" borderId="10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1" fillId="0" borderId="7" xfId="0" applyFont="1" applyBorder="1" applyAlignment="1">
      <alignment horizontal="left" vertical="top"/>
    </xf>
    <xf numFmtId="0" fontId="4" fillId="0" borderId="7" xfId="0" applyFont="1" applyBorder="1"/>
    <xf numFmtId="0" fontId="1" fillId="0" borderId="7" xfId="0" applyFont="1" applyBorder="1" applyAlignment="1">
      <alignment horizontal="center" vertical="top"/>
    </xf>
    <xf numFmtId="0" fontId="0" fillId="0" borderId="7" xfId="0" applyBorder="1"/>
    <xf numFmtId="0" fontId="10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9" borderId="7" xfId="0" applyFont="1" applyFill="1" applyBorder="1" applyAlignment="1">
      <alignment horizontal="left" vertical="top"/>
    </xf>
    <xf numFmtId="0" fontId="0" fillId="8" borderId="7" xfId="0" applyFill="1" applyBorder="1"/>
    <xf numFmtId="0" fontId="4" fillId="8" borderId="7" xfId="0" applyFont="1" applyFill="1" applyBorder="1"/>
    <xf numFmtId="0" fontId="1" fillId="9" borderId="7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9EAD3"/>
      <color rgb="FFC9DAF8"/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dilet.zan.kz/kaz/docs/V1200008170" TargetMode="External"/><Relationship Id="rId1" Type="http://schemas.openxmlformats.org/officeDocument/2006/relationships/hyperlink" Target="https://adilet.zan.kz/kaz/docs/V1200008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55"/>
  <sheetViews>
    <sheetView tabSelected="1" zoomScale="85" workbookViewId="0">
      <pane ySplit="3" topLeftCell="A25" activePane="bottomLeft" state="frozen"/>
      <selection pane="bottomLeft" activeCell="C76" sqref="C76:C77"/>
    </sheetView>
  </sheetViews>
  <sheetFormatPr baseColWidth="10" defaultColWidth="12.5" defaultRowHeight="15.75" customHeight="1"/>
  <cols>
    <col min="2" max="2" width="36" customWidth="1"/>
    <col min="3" max="3" width="24.1640625" customWidth="1"/>
    <col min="4" max="4" width="18.5" customWidth="1"/>
    <col min="5" max="6" width="3" customWidth="1"/>
    <col min="7" max="7" width="3.1640625" customWidth="1"/>
    <col min="8" max="9" width="3" customWidth="1"/>
    <col min="10" max="10" width="3.1640625" customWidth="1"/>
    <col min="11" max="13" width="3" customWidth="1"/>
    <col min="14" max="14" width="5.1640625" customWidth="1"/>
    <col min="15" max="16" width="4" customWidth="1"/>
    <col min="17" max="17" width="3.83203125" customWidth="1"/>
    <col min="18" max="18" width="5.5" customWidth="1"/>
    <col min="19" max="19" width="9.1640625" customWidth="1"/>
    <col min="20" max="20" width="16" customWidth="1"/>
    <col min="21" max="21" width="15.5" customWidth="1"/>
  </cols>
  <sheetData>
    <row r="1" spans="1:28" ht="15.75" customHeight="1">
      <c r="O1" s="72" t="s">
        <v>133</v>
      </c>
      <c r="P1" s="72"/>
      <c r="Q1" s="72"/>
      <c r="R1" s="72"/>
      <c r="S1" s="72"/>
      <c r="T1" s="72"/>
      <c r="U1" s="72"/>
    </row>
    <row r="2" spans="1:28" ht="14">
      <c r="A2" s="94" t="s">
        <v>0</v>
      </c>
      <c r="B2" s="94">
        <v>0</v>
      </c>
      <c r="C2" s="9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4" t="s">
        <v>10</v>
      </c>
      <c r="M2" s="24" t="s">
        <v>11</v>
      </c>
      <c r="N2" s="25" t="s">
        <v>12</v>
      </c>
      <c r="O2" s="24" t="s">
        <v>13</v>
      </c>
      <c r="P2" s="24" t="s">
        <v>14</v>
      </c>
      <c r="Q2" s="24" t="s">
        <v>15</v>
      </c>
      <c r="R2" s="24" t="s">
        <v>16</v>
      </c>
      <c r="S2" s="25" t="s">
        <v>17</v>
      </c>
      <c r="T2" s="30" t="s">
        <v>18</v>
      </c>
      <c r="U2" s="31" t="s">
        <v>19</v>
      </c>
    </row>
    <row r="3" spans="1:28" ht="14">
      <c r="A3" s="93"/>
      <c r="B3" s="93"/>
      <c r="C3" s="93"/>
      <c r="D3" s="29" t="s">
        <v>20</v>
      </c>
      <c r="E3" s="29">
        <v>15</v>
      </c>
      <c r="F3" s="29">
        <v>9</v>
      </c>
      <c r="G3" s="29">
        <v>14</v>
      </c>
      <c r="H3" s="29">
        <v>20</v>
      </c>
      <c r="I3" s="29">
        <v>20</v>
      </c>
      <c r="J3" s="29">
        <v>22</v>
      </c>
      <c r="K3" s="29">
        <v>16</v>
      </c>
      <c r="L3" s="29">
        <v>23</v>
      </c>
      <c r="M3" s="29">
        <v>19</v>
      </c>
      <c r="N3" s="25">
        <f t="shared" ref="N3:N88" si="0">SUM(E3:M3)</f>
        <v>158</v>
      </c>
      <c r="O3" s="29">
        <v>20</v>
      </c>
      <c r="P3" s="29">
        <v>19</v>
      </c>
      <c r="Q3" s="29">
        <v>26</v>
      </c>
      <c r="R3" s="29">
        <v>24</v>
      </c>
      <c r="S3" s="25">
        <f t="shared" ref="S3:S89" si="1">SUM(O3:R3)</f>
        <v>89</v>
      </c>
      <c r="T3" s="30">
        <f t="shared" ref="T3:T89" si="2">N3+S3</f>
        <v>247</v>
      </c>
      <c r="U3" s="27"/>
    </row>
    <row r="4" spans="1:28" ht="13">
      <c r="A4" s="94">
        <v>1</v>
      </c>
      <c r="B4" s="92" t="s">
        <v>21</v>
      </c>
      <c r="C4" s="94"/>
      <c r="D4" s="22" t="s">
        <v>22</v>
      </c>
      <c r="E4" s="24"/>
      <c r="F4" s="24"/>
      <c r="G4" s="24"/>
      <c r="H4" s="24"/>
      <c r="I4" s="24"/>
      <c r="J4" s="24"/>
      <c r="K4" s="24">
        <v>3</v>
      </c>
      <c r="L4" s="24"/>
      <c r="M4" s="24"/>
      <c r="N4" s="25">
        <f t="shared" si="0"/>
        <v>3</v>
      </c>
      <c r="O4" s="24"/>
      <c r="P4" s="24"/>
      <c r="Q4" s="24"/>
      <c r="R4" s="24">
        <v>4</v>
      </c>
      <c r="S4" s="25">
        <f t="shared" si="1"/>
        <v>4</v>
      </c>
      <c r="T4" s="26">
        <f t="shared" si="2"/>
        <v>7</v>
      </c>
      <c r="U4" s="27"/>
    </row>
    <row r="5" spans="1:28" ht="13">
      <c r="A5" s="93"/>
      <c r="B5" s="95"/>
      <c r="C5" s="95"/>
      <c r="D5" s="22" t="s">
        <v>23</v>
      </c>
      <c r="E5" s="24"/>
      <c r="F5" s="24"/>
      <c r="G5" s="24"/>
      <c r="H5" s="24"/>
      <c r="I5" s="24"/>
      <c r="J5" s="24"/>
      <c r="K5" s="24">
        <v>1</v>
      </c>
      <c r="L5" s="24"/>
      <c r="M5" s="24"/>
      <c r="N5" s="25">
        <f t="shared" si="0"/>
        <v>1</v>
      </c>
      <c r="O5" s="24"/>
      <c r="P5" s="24"/>
      <c r="Q5" s="24"/>
      <c r="R5" s="24">
        <v>2</v>
      </c>
      <c r="S5" s="25">
        <f t="shared" si="1"/>
        <v>2</v>
      </c>
      <c r="T5" s="26">
        <f t="shared" si="2"/>
        <v>3</v>
      </c>
      <c r="U5" s="73">
        <f>SUM(T4:T8)</f>
        <v>19</v>
      </c>
    </row>
    <row r="6" spans="1:28" ht="13">
      <c r="A6" s="93"/>
      <c r="B6" s="95"/>
      <c r="C6" s="95"/>
      <c r="D6" s="22" t="s">
        <v>24</v>
      </c>
      <c r="E6" s="24"/>
      <c r="F6" s="24"/>
      <c r="G6" s="24"/>
      <c r="H6" s="24"/>
      <c r="I6" s="24"/>
      <c r="J6" s="24"/>
      <c r="K6" s="24"/>
      <c r="L6" s="24"/>
      <c r="M6" s="24"/>
      <c r="N6" s="25">
        <f t="shared" si="0"/>
        <v>0</v>
      </c>
      <c r="O6" s="24"/>
      <c r="P6" s="24"/>
      <c r="Q6" s="24"/>
      <c r="R6" s="24">
        <v>3</v>
      </c>
      <c r="S6" s="25">
        <f t="shared" si="1"/>
        <v>3</v>
      </c>
      <c r="T6" s="26">
        <f t="shared" si="2"/>
        <v>3</v>
      </c>
      <c r="U6" s="74"/>
    </row>
    <row r="7" spans="1:28" ht="13">
      <c r="A7" s="93"/>
      <c r="B7" s="95"/>
      <c r="C7" s="95"/>
      <c r="D7" s="22" t="s">
        <v>25</v>
      </c>
      <c r="E7" s="24"/>
      <c r="F7" s="24"/>
      <c r="G7" s="24"/>
      <c r="H7" s="24"/>
      <c r="I7" s="24"/>
      <c r="J7" s="24"/>
      <c r="K7" s="24"/>
      <c r="L7" s="24"/>
      <c r="M7" s="24"/>
      <c r="N7" s="25">
        <f t="shared" si="0"/>
        <v>0</v>
      </c>
      <c r="O7" s="24"/>
      <c r="P7" s="24"/>
      <c r="Q7" s="24"/>
      <c r="R7" s="24">
        <v>2</v>
      </c>
      <c r="S7" s="25">
        <f t="shared" si="1"/>
        <v>2</v>
      </c>
      <c r="T7" s="26">
        <f t="shared" si="2"/>
        <v>2</v>
      </c>
      <c r="U7" s="74"/>
    </row>
    <row r="8" spans="1:28" ht="14" thickBot="1">
      <c r="A8" s="93"/>
      <c r="B8" s="93"/>
      <c r="C8" s="93"/>
      <c r="D8" s="22" t="s">
        <v>26</v>
      </c>
      <c r="E8" s="24"/>
      <c r="F8" s="24"/>
      <c r="G8" s="24"/>
      <c r="H8" s="24"/>
      <c r="I8" s="64" t="s">
        <v>123</v>
      </c>
      <c r="J8" s="24"/>
      <c r="K8" s="24">
        <v>1</v>
      </c>
      <c r="L8" s="24"/>
      <c r="M8" s="24"/>
      <c r="N8" s="25">
        <f t="shared" si="0"/>
        <v>1</v>
      </c>
      <c r="O8" s="24"/>
      <c r="P8" s="24"/>
      <c r="Q8" s="24"/>
      <c r="R8" s="24">
        <v>3</v>
      </c>
      <c r="S8" s="25">
        <f t="shared" si="1"/>
        <v>3</v>
      </c>
      <c r="T8" s="26">
        <f t="shared" si="2"/>
        <v>4</v>
      </c>
      <c r="U8" s="75"/>
      <c r="V8" s="2"/>
      <c r="W8" s="2"/>
      <c r="X8" s="2"/>
      <c r="Y8" s="2"/>
      <c r="Z8" s="2"/>
      <c r="AA8" s="2"/>
      <c r="AB8" s="2"/>
    </row>
    <row r="9" spans="1:28" ht="13">
      <c r="A9" s="94">
        <v>2</v>
      </c>
      <c r="B9" s="92" t="s">
        <v>27</v>
      </c>
      <c r="C9" s="94"/>
      <c r="D9" s="22" t="s">
        <v>22</v>
      </c>
      <c r="E9" s="24"/>
      <c r="F9" s="24"/>
      <c r="G9" s="24"/>
      <c r="H9" s="24"/>
      <c r="I9" s="24"/>
      <c r="J9" s="24">
        <v>3</v>
      </c>
      <c r="K9" s="24"/>
      <c r="L9" s="24"/>
      <c r="M9" s="24"/>
      <c r="N9" s="25">
        <f t="shared" si="0"/>
        <v>3</v>
      </c>
      <c r="O9" s="24"/>
      <c r="P9" s="24"/>
      <c r="Q9" s="24">
        <v>4</v>
      </c>
      <c r="R9" s="24"/>
      <c r="S9" s="25">
        <f t="shared" si="1"/>
        <v>4</v>
      </c>
      <c r="T9" s="26">
        <f t="shared" si="2"/>
        <v>7</v>
      </c>
      <c r="U9" s="73">
        <f>SUM(T9:T13)</f>
        <v>19</v>
      </c>
    </row>
    <row r="10" spans="1:28" ht="13">
      <c r="A10" s="95"/>
      <c r="B10" s="95"/>
      <c r="C10" s="95"/>
      <c r="D10" s="22" t="s">
        <v>23</v>
      </c>
      <c r="E10" s="24"/>
      <c r="F10" s="24"/>
      <c r="G10" s="24"/>
      <c r="H10" s="24"/>
      <c r="I10" s="24"/>
      <c r="J10" s="24">
        <v>1</v>
      </c>
      <c r="K10" s="24"/>
      <c r="L10" s="24"/>
      <c r="M10" s="24"/>
      <c r="N10" s="25">
        <f t="shared" si="0"/>
        <v>1</v>
      </c>
      <c r="O10" s="24"/>
      <c r="P10" s="24"/>
      <c r="Q10" s="24">
        <v>2</v>
      </c>
      <c r="R10" s="24"/>
      <c r="S10" s="25">
        <f t="shared" si="1"/>
        <v>2</v>
      </c>
      <c r="T10" s="26">
        <f t="shared" si="2"/>
        <v>3</v>
      </c>
      <c r="U10" s="74"/>
    </row>
    <row r="11" spans="1:28" ht="13">
      <c r="A11" s="95"/>
      <c r="B11" s="95"/>
      <c r="C11" s="95"/>
      <c r="D11" s="22" t="s">
        <v>24</v>
      </c>
      <c r="E11" s="24"/>
      <c r="F11" s="24"/>
      <c r="G11" s="24"/>
      <c r="H11" s="24"/>
      <c r="I11" s="24"/>
      <c r="J11" s="24"/>
      <c r="K11" s="24"/>
      <c r="L11" s="24"/>
      <c r="M11" s="24"/>
      <c r="N11" s="25">
        <f t="shared" si="0"/>
        <v>0</v>
      </c>
      <c r="O11" s="24"/>
      <c r="P11" s="24"/>
      <c r="Q11" s="24">
        <v>3</v>
      </c>
      <c r="R11" s="24"/>
      <c r="S11" s="25">
        <f t="shared" si="1"/>
        <v>3</v>
      </c>
      <c r="T11" s="26">
        <f t="shared" si="2"/>
        <v>3</v>
      </c>
      <c r="U11" s="74"/>
    </row>
    <row r="12" spans="1:28" ht="13">
      <c r="A12" s="95"/>
      <c r="B12" s="95"/>
      <c r="C12" s="95"/>
      <c r="D12" s="22" t="s">
        <v>25</v>
      </c>
      <c r="E12" s="24"/>
      <c r="F12" s="24"/>
      <c r="G12" s="24"/>
      <c r="H12" s="24"/>
      <c r="I12" s="24"/>
      <c r="J12" s="24"/>
      <c r="K12" s="24"/>
      <c r="L12" s="24"/>
      <c r="M12" s="24"/>
      <c r="N12" s="25">
        <f t="shared" si="0"/>
        <v>0</v>
      </c>
      <c r="O12" s="24"/>
      <c r="P12" s="24"/>
      <c r="Q12" s="24">
        <v>2</v>
      </c>
      <c r="R12" s="24"/>
      <c r="S12" s="25">
        <f t="shared" si="1"/>
        <v>2</v>
      </c>
      <c r="T12" s="26">
        <f t="shared" si="2"/>
        <v>2</v>
      </c>
      <c r="U12" s="74"/>
    </row>
    <row r="13" spans="1:28" ht="14" thickBot="1">
      <c r="A13" s="93"/>
      <c r="B13" s="93"/>
      <c r="C13" s="93"/>
      <c r="D13" s="22" t="s">
        <v>26</v>
      </c>
      <c r="E13" s="24"/>
      <c r="F13" s="24"/>
      <c r="G13" s="24"/>
      <c r="H13" s="24"/>
      <c r="I13" s="24"/>
      <c r="J13" s="24">
        <v>1</v>
      </c>
      <c r="K13" s="24"/>
      <c r="L13" s="24"/>
      <c r="M13" s="24"/>
      <c r="N13" s="25">
        <f t="shared" si="0"/>
        <v>1</v>
      </c>
      <c r="O13" s="24"/>
      <c r="P13" s="24"/>
      <c r="Q13" s="24">
        <v>3</v>
      </c>
      <c r="R13" s="24"/>
      <c r="S13" s="25">
        <f t="shared" si="1"/>
        <v>3</v>
      </c>
      <c r="T13" s="26">
        <f t="shared" si="2"/>
        <v>4</v>
      </c>
      <c r="U13" s="75"/>
      <c r="V13" s="2"/>
      <c r="W13" s="2"/>
      <c r="X13" s="2"/>
      <c r="Y13" s="2"/>
      <c r="Z13" s="2"/>
      <c r="AA13" s="2"/>
      <c r="AB13" s="2"/>
    </row>
    <row r="14" spans="1:28" ht="13">
      <c r="A14" s="94">
        <v>3</v>
      </c>
      <c r="B14" s="92" t="s">
        <v>28</v>
      </c>
      <c r="C14" s="94"/>
      <c r="D14" s="22" t="s">
        <v>22</v>
      </c>
      <c r="E14" s="24"/>
      <c r="F14" s="24"/>
      <c r="G14" s="24"/>
      <c r="H14" s="32"/>
      <c r="I14" s="24"/>
      <c r="J14" s="24"/>
      <c r="K14" s="24"/>
      <c r="L14" s="24"/>
      <c r="M14" s="24"/>
      <c r="N14" s="25">
        <f t="shared" si="0"/>
        <v>0</v>
      </c>
      <c r="O14" s="24">
        <v>4</v>
      </c>
      <c r="P14" s="24">
        <v>4</v>
      </c>
      <c r="Q14" s="24"/>
      <c r="R14" s="24"/>
      <c r="S14" s="25">
        <f t="shared" si="1"/>
        <v>8</v>
      </c>
      <c r="T14" s="26">
        <f t="shared" si="2"/>
        <v>8</v>
      </c>
      <c r="U14" s="73">
        <f>SUM(T14:T18)</f>
        <v>20</v>
      </c>
    </row>
    <row r="15" spans="1:28" ht="13">
      <c r="A15" s="93"/>
      <c r="B15" s="95"/>
      <c r="C15" s="95"/>
      <c r="D15" s="22" t="s">
        <v>23</v>
      </c>
      <c r="E15" s="24"/>
      <c r="F15" s="24"/>
      <c r="G15" s="24"/>
      <c r="H15" s="23"/>
      <c r="I15" s="24"/>
      <c r="J15" s="24"/>
      <c r="K15" s="24"/>
      <c r="L15" s="24"/>
      <c r="M15" s="24"/>
      <c r="N15" s="25">
        <f t="shared" si="0"/>
        <v>0</v>
      </c>
      <c r="O15" s="24">
        <v>2</v>
      </c>
      <c r="P15" s="24">
        <v>2</v>
      </c>
      <c r="Q15" s="24"/>
      <c r="R15" s="24"/>
      <c r="S15" s="25">
        <f t="shared" si="1"/>
        <v>4</v>
      </c>
      <c r="T15" s="26">
        <f t="shared" si="2"/>
        <v>4</v>
      </c>
      <c r="U15" s="74"/>
    </row>
    <row r="16" spans="1:28" ht="13">
      <c r="A16" s="93"/>
      <c r="B16" s="95"/>
      <c r="C16" s="95"/>
      <c r="D16" s="22" t="s">
        <v>24</v>
      </c>
      <c r="E16" s="24"/>
      <c r="F16" s="24"/>
      <c r="G16" s="24"/>
      <c r="H16" s="23"/>
      <c r="I16" s="24"/>
      <c r="J16" s="24"/>
      <c r="K16" s="24"/>
      <c r="L16" s="24"/>
      <c r="M16" s="24"/>
      <c r="N16" s="25">
        <f t="shared" si="0"/>
        <v>0</v>
      </c>
      <c r="O16" s="24">
        <v>4</v>
      </c>
      <c r="P16" s="64" t="s">
        <v>123</v>
      </c>
      <c r="Q16" s="24"/>
      <c r="R16" s="24"/>
      <c r="S16" s="25">
        <f t="shared" si="1"/>
        <v>4</v>
      </c>
      <c r="T16" s="26">
        <f t="shared" si="2"/>
        <v>4</v>
      </c>
      <c r="U16" s="74"/>
    </row>
    <row r="17" spans="1:28" ht="13">
      <c r="A17" s="93"/>
      <c r="B17" s="95"/>
      <c r="C17" s="95"/>
      <c r="D17" s="22" t="s">
        <v>25</v>
      </c>
      <c r="E17" s="24"/>
      <c r="F17" s="24"/>
      <c r="G17" s="24"/>
      <c r="H17" s="23"/>
      <c r="I17" s="24"/>
      <c r="J17" s="24"/>
      <c r="K17" s="24"/>
      <c r="L17" s="24"/>
      <c r="M17" s="24"/>
      <c r="N17" s="25">
        <f t="shared" si="0"/>
        <v>0</v>
      </c>
      <c r="O17" s="24">
        <v>2</v>
      </c>
      <c r="P17" s="24">
        <v>2</v>
      </c>
      <c r="Q17" s="24"/>
      <c r="R17" s="24"/>
      <c r="S17" s="25">
        <f t="shared" si="1"/>
        <v>4</v>
      </c>
      <c r="T17" s="26">
        <f t="shared" si="2"/>
        <v>4</v>
      </c>
      <c r="U17" s="74"/>
    </row>
    <row r="18" spans="1:28" ht="13">
      <c r="A18" s="93"/>
      <c r="B18" s="93"/>
      <c r="C18" s="93"/>
      <c r="D18" s="22" t="s">
        <v>26</v>
      </c>
      <c r="E18" s="24"/>
      <c r="F18" s="24"/>
      <c r="G18" s="24"/>
      <c r="H18" s="32"/>
      <c r="I18" s="24"/>
      <c r="J18" s="24"/>
      <c r="K18" s="24"/>
      <c r="L18" s="24"/>
      <c r="M18" s="24"/>
      <c r="N18" s="25">
        <f t="shared" si="0"/>
        <v>0</v>
      </c>
      <c r="O18" s="24"/>
      <c r="P18" s="24"/>
      <c r="Q18" s="24"/>
      <c r="R18" s="24"/>
      <c r="S18" s="25">
        <f t="shared" si="1"/>
        <v>0</v>
      </c>
      <c r="T18" s="26">
        <f t="shared" si="2"/>
        <v>0</v>
      </c>
      <c r="U18" s="75"/>
      <c r="V18" s="3"/>
      <c r="W18" s="3"/>
      <c r="X18" s="3"/>
      <c r="Y18" s="3"/>
      <c r="Z18" s="3"/>
      <c r="AA18" s="3"/>
      <c r="AB18" s="3"/>
    </row>
    <row r="19" spans="1:28" ht="13">
      <c r="A19" s="94">
        <v>4</v>
      </c>
      <c r="B19" s="92" t="s">
        <v>29</v>
      </c>
      <c r="C19" s="94"/>
      <c r="D19" s="22" t="s">
        <v>22</v>
      </c>
      <c r="E19" s="24"/>
      <c r="F19" s="24"/>
      <c r="G19" s="24"/>
      <c r="H19" s="24">
        <v>3</v>
      </c>
      <c r="I19" s="24"/>
      <c r="J19" s="24"/>
      <c r="K19" s="24"/>
      <c r="L19" s="24">
        <v>3</v>
      </c>
      <c r="M19" s="24">
        <v>3</v>
      </c>
      <c r="N19" s="25">
        <f t="shared" si="0"/>
        <v>9</v>
      </c>
      <c r="O19" s="24"/>
      <c r="P19" s="24"/>
      <c r="Q19" s="24"/>
      <c r="R19" s="24"/>
      <c r="S19" s="25">
        <f t="shared" si="1"/>
        <v>0</v>
      </c>
      <c r="T19" s="26">
        <f t="shared" si="2"/>
        <v>9</v>
      </c>
      <c r="U19" s="86">
        <f>SUM(T19:T24)</f>
        <v>21</v>
      </c>
    </row>
    <row r="20" spans="1:28" ht="13">
      <c r="A20" s="93"/>
      <c r="B20" s="95"/>
      <c r="C20" s="95"/>
      <c r="D20" s="22" t="s">
        <v>23</v>
      </c>
      <c r="E20" s="24"/>
      <c r="F20" s="24"/>
      <c r="G20" s="24"/>
      <c r="H20" s="24">
        <v>1</v>
      </c>
      <c r="I20" s="24"/>
      <c r="J20" s="24"/>
      <c r="K20" s="24"/>
      <c r="L20" s="24">
        <v>1</v>
      </c>
      <c r="M20" s="24">
        <v>1</v>
      </c>
      <c r="N20" s="25">
        <f t="shared" si="0"/>
        <v>3</v>
      </c>
      <c r="O20" s="24"/>
      <c r="P20" s="24"/>
      <c r="Q20" s="24"/>
      <c r="R20" s="24"/>
      <c r="S20" s="25">
        <f t="shared" si="1"/>
        <v>0</v>
      </c>
      <c r="T20" s="26">
        <f t="shared" si="2"/>
        <v>3</v>
      </c>
      <c r="U20" s="87"/>
    </row>
    <row r="21" spans="1:28" ht="13">
      <c r="A21" s="93"/>
      <c r="B21" s="95"/>
      <c r="C21" s="95"/>
      <c r="D21" s="22" t="s">
        <v>24</v>
      </c>
      <c r="E21" s="24"/>
      <c r="F21" s="24"/>
      <c r="G21" s="24"/>
      <c r="H21" s="24"/>
      <c r="I21" s="24"/>
      <c r="J21" s="24"/>
      <c r="K21" s="24"/>
      <c r="L21" s="24"/>
      <c r="M21" s="24"/>
      <c r="N21" s="25">
        <f t="shared" si="0"/>
        <v>0</v>
      </c>
      <c r="O21" s="24">
        <v>4</v>
      </c>
      <c r="P21" s="24"/>
      <c r="Q21" s="24"/>
      <c r="R21" s="24"/>
      <c r="S21" s="25">
        <f t="shared" si="1"/>
        <v>4</v>
      </c>
      <c r="T21" s="26">
        <f t="shared" si="2"/>
        <v>4</v>
      </c>
      <c r="U21" s="87"/>
    </row>
    <row r="22" spans="1:28" ht="13">
      <c r="A22" s="93"/>
      <c r="B22" s="95"/>
      <c r="C22" s="95"/>
      <c r="D22" s="22" t="s">
        <v>25</v>
      </c>
      <c r="E22" s="24"/>
      <c r="F22" s="24"/>
      <c r="G22" s="24"/>
      <c r="H22" s="24"/>
      <c r="I22" s="24"/>
      <c r="J22" s="24"/>
      <c r="K22" s="24"/>
      <c r="L22" s="24"/>
      <c r="M22" s="24"/>
      <c r="N22" s="25">
        <f t="shared" si="0"/>
        <v>0</v>
      </c>
      <c r="O22" s="24"/>
      <c r="P22" s="24"/>
      <c r="Q22" s="24"/>
      <c r="R22" s="24"/>
      <c r="S22" s="25">
        <f t="shared" si="1"/>
        <v>0</v>
      </c>
      <c r="T22" s="26">
        <f t="shared" si="2"/>
        <v>0</v>
      </c>
      <c r="U22" s="87"/>
    </row>
    <row r="23" spans="1:28" ht="13">
      <c r="A23" s="93"/>
      <c r="B23" s="95"/>
      <c r="C23" s="95"/>
      <c r="D23" s="22" t="s">
        <v>26</v>
      </c>
      <c r="E23" s="24"/>
      <c r="F23" s="24"/>
      <c r="G23" s="24"/>
      <c r="H23" s="24">
        <v>1</v>
      </c>
      <c r="I23" s="24"/>
      <c r="J23" s="24"/>
      <c r="K23" s="24"/>
      <c r="L23" s="24">
        <v>1</v>
      </c>
      <c r="M23" s="24">
        <v>1</v>
      </c>
      <c r="N23" s="25">
        <f t="shared" si="0"/>
        <v>3</v>
      </c>
      <c r="O23" s="24"/>
      <c r="P23" s="24"/>
      <c r="Q23" s="24"/>
      <c r="R23" s="24"/>
      <c r="S23" s="25">
        <f t="shared" si="1"/>
        <v>0</v>
      </c>
      <c r="T23" s="26">
        <f t="shared" si="2"/>
        <v>3</v>
      </c>
      <c r="U23" s="87"/>
    </row>
    <row r="24" spans="1:28" ht="13">
      <c r="A24" s="93"/>
      <c r="B24" s="93"/>
      <c r="C24" s="93"/>
      <c r="D24" s="22" t="s">
        <v>30</v>
      </c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  <c r="O24" s="24">
        <v>1</v>
      </c>
      <c r="P24" s="24">
        <v>1</v>
      </c>
      <c r="Q24" s="24"/>
      <c r="R24" s="24"/>
      <c r="S24" s="61">
        <f t="shared" si="1"/>
        <v>2</v>
      </c>
      <c r="T24" s="26">
        <f t="shared" si="2"/>
        <v>2</v>
      </c>
      <c r="U24" s="88"/>
      <c r="V24" s="3"/>
      <c r="W24" s="3"/>
      <c r="X24" s="3"/>
      <c r="Y24" s="3"/>
      <c r="Z24" s="3"/>
      <c r="AA24" s="3"/>
      <c r="AB24" s="3"/>
    </row>
    <row r="25" spans="1:28" s="20" customFormat="1" ht="13">
      <c r="A25" s="101">
        <v>5</v>
      </c>
      <c r="B25" s="98" t="s">
        <v>131</v>
      </c>
      <c r="C25" s="101"/>
      <c r="D25" s="53" t="s">
        <v>22</v>
      </c>
      <c r="E25" s="38">
        <v>3</v>
      </c>
      <c r="F25" s="59"/>
      <c r="G25" s="38">
        <v>3</v>
      </c>
      <c r="H25" s="38"/>
      <c r="I25" s="37">
        <v>3</v>
      </c>
      <c r="J25" s="38"/>
      <c r="K25" s="38"/>
      <c r="L25" s="38"/>
      <c r="M25" s="38"/>
      <c r="N25" s="62">
        <f t="shared" si="0"/>
        <v>9</v>
      </c>
      <c r="O25" s="38"/>
      <c r="P25" s="38"/>
      <c r="Q25" s="38"/>
      <c r="R25" s="38"/>
      <c r="S25" s="62">
        <f t="shared" si="1"/>
        <v>0</v>
      </c>
      <c r="T25" s="60">
        <f t="shared" si="2"/>
        <v>9</v>
      </c>
      <c r="U25" s="89">
        <f>SUM(T25:T27)</f>
        <v>21</v>
      </c>
      <c r="V25" s="57"/>
      <c r="W25" s="57"/>
      <c r="X25" s="57"/>
      <c r="Y25" s="57"/>
      <c r="Z25" s="57"/>
      <c r="AA25" s="57"/>
      <c r="AB25" s="57"/>
    </row>
    <row r="26" spans="1:28" s="20" customFormat="1" ht="13">
      <c r="A26" s="100"/>
      <c r="B26" s="99"/>
      <c r="C26" s="99"/>
      <c r="D26" s="53" t="s">
        <v>23</v>
      </c>
      <c r="E26" s="38">
        <v>1</v>
      </c>
      <c r="F26" s="59"/>
      <c r="G26" s="38">
        <v>1</v>
      </c>
      <c r="H26" s="38"/>
      <c r="I26" s="37">
        <v>1</v>
      </c>
      <c r="J26" s="38"/>
      <c r="K26" s="38"/>
      <c r="L26" s="38"/>
      <c r="M26" s="38"/>
      <c r="N26" s="62">
        <f t="shared" si="0"/>
        <v>3</v>
      </c>
      <c r="O26" s="38"/>
      <c r="P26" s="38"/>
      <c r="Q26" s="38"/>
      <c r="R26" s="38"/>
      <c r="S26" s="62">
        <f t="shared" si="1"/>
        <v>0</v>
      </c>
      <c r="T26" s="60">
        <f t="shared" si="2"/>
        <v>3</v>
      </c>
      <c r="U26" s="89"/>
      <c r="V26" s="57"/>
      <c r="W26" s="57"/>
      <c r="X26" s="57"/>
      <c r="Y26" s="57"/>
      <c r="Z26" s="57"/>
      <c r="AA26" s="57"/>
      <c r="AB26" s="57"/>
    </row>
    <row r="27" spans="1:28" s="20" customFormat="1" ht="13">
      <c r="A27" s="100"/>
      <c r="B27" s="100"/>
      <c r="C27" s="100"/>
      <c r="D27" s="53" t="s">
        <v>26</v>
      </c>
      <c r="E27" s="38">
        <v>2</v>
      </c>
      <c r="F27" s="59"/>
      <c r="G27" s="38">
        <v>2</v>
      </c>
      <c r="H27" s="38"/>
      <c r="I27" s="38">
        <v>1</v>
      </c>
      <c r="J27" s="38"/>
      <c r="K27" s="38"/>
      <c r="L27" s="38"/>
      <c r="M27" s="38"/>
      <c r="N27" s="62">
        <f t="shared" si="0"/>
        <v>5</v>
      </c>
      <c r="O27" s="38">
        <v>2</v>
      </c>
      <c r="P27" s="38">
        <v>2</v>
      </c>
      <c r="Q27" s="38"/>
      <c r="R27" s="38"/>
      <c r="S27" s="62">
        <f t="shared" si="1"/>
        <v>4</v>
      </c>
      <c r="T27" s="60">
        <f t="shared" si="2"/>
        <v>9</v>
      </c>
      <c r="U27" s="89"/>
      <c r="V27" s="58"/>
      <c r="W27" s="58"/>
      <c r="X27" s="58"/>
      <c r="Y27" s="58"/>
      <c r="Z27" s="58"/>
      <c r="AA27" s="58"/>
      <c r="AB27" s="58"/>
    </row>
    <row r="28" spans="1:28" ht="13">
      <c r="A28" s="94">
        <v>6</v>
      </c>
      <c r="B28" s="92" t="s">
        <v>31</v>
      </c>
      <c r="C28" s="94"/>
      <c r="D28" s="22" t="s">
        <v>32</v>
      </c>
      <c r="E28" s="24"/>
      <c r="F28" s="24"/>
      <c r="G28" s="24"/>
      <c r="H28" s="24"/>
      <c r="I28" s="24"/>
      <c r="J28" s="24">
        <v>2</v>
      </c>
      <c r="K28" s="24">
        <v>2</v>
      </c>
      <c r="L28" s="24"/>
      <c r="M28" s="24">
        <v>2</v>
      </c>
      <c r="N28" s="25">
        <f t="shared" si="0"/>
        <v>6</v>
      </c>
      <c r="O28" s="24">
        <v>1</v>
      </c>
      <c r="P28" s="24">
        <v>1</v>
      </c>
      <c r="Q28" s="24">
        <v>2</v>
      </c>
      <c r="R28" s="24">
        <v>2</v>
      </c>
      <c r="S28" s="25">
        <f t="shared" si="1"/>
        <v>6</v>
      </c>
      <c r="T28" s="26">
        <f t="shared" si="2"/>
        <v>12</v>
      </c>
      <c r="U28" s="73">
        <f>SUM(T28:T30)</f>
        <v>24</v>
      </c>
    </row>
    <row r="29" spans="1:28" ht="13">
      <c r="A29" s="93"/>
      <c r="B29" s="95"/>
      <c r="C29" s="95"/>
      <c r="D29" s="22" t="s">
        <v>24</v>
      </c>
      <c r="E29" s="24"/>
      <c r="F29" s="24"/>
      <c r="G29" s="24"/>
      <c r="H29" s="24"/>
      <c r="I29" s="24"/>
      <c r="J29" s="24"/>
      <c r="K29" s="24"/>
      <c r="L29" s="24"/>
      <c r="M29" s="24"/>
      <c r="N29" s="25">
        <f t="shared" si="0"/>
        <v>0</v>
      </c>
      <c r="O29" s="24">
        <v>5</v>
      </c>
      <c r="P29" s="24"/>
      <c r="Q29" s="24">
        <v>2</v>
      </c>
      <c r="R29" s="24">
        <v>2</v>
      </c>
      <c r="S29" s="25">
        <f t="shared" si="1"/>
        <v>9</v>
      </c>
      <c r="T29" s="26">
        <f t="shared" si="2"/>
        <v>9</v>
      </c>
      <c r="U29" s="74"/>
    </row>
    <row r="30" spans="1:28" ht="13">
      <c r="A30" s="93"/>
      <c r="B30" s="93"/>
      <c r="C30" s="93"/>
      <c r="D30" s="22" t="s">
        <v>26</v>
      </c>
      <c r="E30" s="24"/>
      <c r="F30" s="24"/>
      <c r="G30" s="24"/>
      <c r="H30" s="24"/>
      <c r="I30" s="24"/>
      <c r="J30" s="24">
        <v>1</v>
      </c>
      <c r="K30" s="24">
        <v>1</v>
      </c>
      <c r="L30" s="24"/>
      <c r="M30" s="24">
        <v>1</v>
      </c>
      <c r="N30" s="25">
        <f t="shared" si="0"/>
        <v>3</v>
      </c>
      <c r="O30" s="24"/>
      <c r="P30" s="24"/>
      <c r="Q30" s="24"/>
      <c r="R30" s="24"/>
      <c r="S30" s="25">
        <f t="shared" si="1"/>
        <v>0</v>
      </c>
      <c r="T30" s="26">
        <f t="shared" si="2"/>
        <v>3</v>
      </c>
      <c r="U30" s="75"/>
      <c r="V30" s="3"/>
      <c r="W30" s="3"/>
      <c r="X30" s="3"/>
      <c r="Y30" s="3"/>
      <c r="Z30" s="3"/>
      <c r="AA30" s="3"/>
      <c r="AB30" s="3"/>
    </row>
    <row r="31" spans="1:28" ht="13">
      <c r="A31" s="94">
        <v>7</v>
      </c>
      <c r="B31" s="97" t="s">
        <v>33</v>
      </c>
      <c r="C31" s="94"/>
      <c r="D31" s="22" t="s">
        <v>32</v>
      </c>
      <c r="E31" s="24">
        <v>2</v>
      </c>
      <c r="F31" s="24">
        <v>2</v>
      </c>
      <c r="G31" s="24">
        <v>2</v>
      </c>
      <c r="H31" s="24">
        <v>2</v>
      </c>
      <c r="I31" s="24">
        <v>2</v>
      </c>
      <c r="J31" s="24"/>
      <c r="K31" s="24"/>
      <c r="L31" s="24">
        <v>2</v>
      </c>
      <c r="M31" s="24"/>
      <c r="N31" s="61">
        <f t="shared" si="0"/>
        <v>12</v>
      </c>
      <c r="O31" s="24"/>
      <c r="P31" s="24"/>
      <c r="Q31" s="24"/>
      <c r="R31" s="24"/>
      <c r="S31" s="61">
        <f t="shared" si="1"/>
        <v>0</v>
      </c>
      <c r="T31" s="63">
        <f t="shared" si="2"/>
        <v>12</v>
      </c>
      <c r="U31" s="84">
        <f>SUM(T31:T32)</f>
        <v>18</v>
      </c>
    </row>
    <row r="32" spans="1:28" ht="20.25" customHeight="1">
      <c r="A32" s="93"/>
      <c r="B32" s="93"/>
      <c r="C32" s="93"/>
      <c r="D32" s="22" t="s">
        <v>26</v>
      </c>
      <c r="E32" s="24">
        <v>1</v>
      </c>
      <c r="F32" s="24">
        <v>1</v>
      </c>
      <c r="G32" s="24">
        <v>1</v>
      </c>
      <c r="H32" s="24">
        <v>1</v>
      </c>
      <c r="I32" s="24">
        <v>1</v>
      </c>
      <c r="J32" s="24"/>
      <c r="K32" s="24"/>
      <c r="L32" s="24">
        <v>1</v>
      </c>
      <c r="M32" s="24"/>
      <c r="N32" s="61">
        <f t="shared" si="0"/>
        <v>6</v>
      </c>
      <c r="O32" s="24"/>
      <c r="P32" s="24"/>
      <c r="Q32" s="24"/>
      <c r="R32" s="24"/>
      <c r="S32" s="61">
        <f t="shared" si="1"/>
        <v>0</v>
      </c>
      <c r="T32" s="63">
        <f t="shared" si="2"/>
        <v>6</v>
      </c>
      <c r="U32" s="85"/>
      <c r="V32" s="3"/>
      <c r="W32" s="3"/>
      <c r="X32" s="3"/>
      <c r="Y32" s="3"/>
      <c r="Z32" s="3"/>
      <c r="AA32" s="3"/>
      <c r="AB32" s="3"/>
    </row>
    <row r="33" spans="1:28" ht="13">
      <c r="A33" s="94">
        <v>8</v>
      </c>
      <c r="B33" s="96" t="s">
        <v>132</v>
      </c>
      <c r="C33" s="94"/>
      <c r="D33" s="22" t="s">
        <v>34</v>
      </c>
      <c r="E33" s="64" t="s">
        <v>123</v>
      </c>
      <c r="F33" s="64" t="s">
        <v>123</v>
      </c>
      <c r="G33" s="64" t="s">
        <v>123</v>
      </c>
      <c r="H33" s="64">
        <v>1</v>
      </c>
      <c r="I33" s="64">
        <v>1</v>
      </c>
      <c r="J33" s="64">
        <v>1</v>
      </c>
      <c r="K33" s="64">
        <v>1</v>
      </c>
      <c r="L33" s="24">
        <v>1</v>
      </c>
      <c r="M33" s="24">
        <v>1</v>
      </c>
      <c r="N33" s="25">
        <f t="shared" si="0"/>
        <v>6</v>
      </c>
      <c r="O33" s="24">
        <v>2</v>
      </c>
      <c r="P33" s="24"/>
      <c r="Q33" s="24">
        <v>2</v>
      </c>
      <c r="R33" s="24">
        <v>2</v>
      </c>
      <c r="S33" s="25">
        <f t="shared" si="1"/>
        <v>6</v>
      </c>
      <c r="T33" s="26">
        <f t="shared" si="2"/>
        <v>12</v>
      </c>
      <c r="U33" s="73">
        <f>SUM(T33:T35)</f>
        <v>25</v>
      </c>
    </row>
    <row r="34" spans="1:28" ht="13">
      <c r="A34" s="93"/>
      <c r="B34" s="95"/>
      <c r="C34" s="95"/>
      <c r="D34" s="22" t="s">
        <v>24</v>
      </c>
      <c r="E34" s="24"/>
      <c r="F34" s="24"/>
      <c r="G34" s="24"/>
      <c r="H34" s="24"/>
      <c r="I34" s="24"/>
      <c r="J34" s="24"/>
      <c r="K34" s="24"/>
      <c r="L34" s="24"/>
      <c r="M34" s="24"/>
      <c r="N34" s="25">
        <f t="shared" si="0"/>
        <v>0</v>
      </c>
      <c r="O34" s="24">
        <v>3</v>
      </c>
      <c r="P34" s="24"/>
      <c r="Q34" s="24">
        <v>2</v>
      </c>
      <c r="R34" s="24">
        <v>2</v>
      </c>
      <c r="S34" s="25">
        <f t="shared" si="1"/>
        <v>7</v>
      </c>
      <c r="T34" s="26">
        <f t="shared" si="2"/>
        <v>7</v>
      </c>
      <c r="U34" s="74"/>
    </row>
    <row r="35" spans="1:28" ht="13">
      <c r="A35" s="93"/>
      <c r="B35" s="93"/>
      <c r="C35" s="93"/>
      <c r="D35" s="22" t="s">
        <v>35</v>
      </c>
      <c r="E35" s="24"/>
      <c r="F35" s="24"/>
      <c r="G35" s="24"/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24">
        <v>1</v>
      </c>
      <c r="N35" s="25">
        <f t="shared" si="0"/>
        <v>6</v>
      </c>
      <c r="O35" s="24" t="s">
        <v>123</v>
      </c>
      <c r="P35" s="24" t="s">
        <v>123</v>
      </c>
      <c r="Q35" s="24"/>
      <c r="R35" s="24"/>
      <c r="S35" s="25">
        <f t="shared" si="1"/>
        <v>0</v>
      </c>
      <c r="T35" s="26">
        <f t="shared" si="2"/>
        <v>6</v>
      </c>
      <c r="U35" s="75"/>
      <c r="V35" s="3"/>
      <c r="W35" s="3"/>
      <c r="X35" s="3"/>
      <c r="Y35" s="3"/>
      <c r="Z35" s="3"/>
      <c r="AA35" s="3"/>
      <c r="AB35" s="3"/>
    </row>
    <row r="36" spans="1:28" s="65" customFormat="1" ht="13">
      <c r="A36" s="29">
        <v>9</v>
      </c>
      <c r="B36" s="28" t="s">
        <v>36</v>
      </c>
      <c r="C36" s="29"/>
      <c r="D36" s="28" t="s">
        <v>34</v>
      </c>
      <c r="E36" s="29">
        <v>1</v>
      </c>
      <c r="F36" s="29">
        <v>1</v>
      </c>
      <c r="G36" s="29">
        <v>1</v>
      </c>
      <c r="H36" s="29"/>
      <c r="I36" s="29"/>
      <c r="J36" s="29"/>
      <c r="K36" s="29"/>
      <c r="L36" s="29"/>
      <c r="M36" s="29"/>
      <c r="N36" s="33">
        <f t="shared" si="0"/>
        <v>3</v>
      </c>
      <c r="O36" s="29"/>
      <c r="P36" s="29"/>
      <c r="Q36" s="29"/>
      <c r="R36" s="29"/>
      <c r="S36" s="33">
        <f t="shared" si="1"/>
        <v>0</v>
      </c>
      <c r="T36" s="33">
        <f t="shared" si="2"/>
        <v>3</v>
      </c>
      <c r="U36" s="34">
        <f>T36</f>
        <v>3</v>
      </c>
      <c r="V36" s="5"/>
      <c r="W36" s="5"/>
      <c r="X36" s="5"/>
      <c r="Y36" s="5"/>
      <c r="Z36" s="5"/>
      <c r="AA36" s="5"/>
      <c r="AB36" s="5"/>
    </row>
    <row r="37" spans="1:28" ht="13">
      <c r="A37" s="104">
        <v>10</v>
      </c>
      <c r="B37" s="105" t="s">
        <v>38</v>
      </c>
      <c r="C37" s="104"/>
      <c r="D37" s="36" t="s">
        <v>39</v>
      </c>
      <c r="E37" s="37"/>
      <c r="F37" s="37"/>
      <c r="G37" s="37"/>
      <c r="H37" s="37"/>
      <c r="I37" s="37"/>
      <c r="J37" s="37"/>
      <c r="K37" s="37"/>
      <c r="L37" s="37"/>
      <c r="M37" s="37"/>
      <c r="N37" s="25">
        <f t="shared" si="0"/>
        <v>0</v>
      </c>
      <c r="O37" s="37"/>
      <c r="P37" s="37"/>
      <c r="Q37" s="37">
        <v>2</v>
      </c>
      <c r="R37" s="37">
        <v>2</v>
      </c>
      <c r="S37" s="25">
        <f t="shared" si="1"/>
        <v>4</v>
      </c>
      <c r="T37" s="26">
        <f t="shared" si="2"/>
        <v>4</v>
      </c>
      <c r="U37" s="73">
        <f>SUM(T37:T40)</f>
        <v>22</v>
      </c>
    </row>
    <row r="38" spans="1:28" ht="13">
      <c r="A38" s="100"/>
      <c r="B38" s="99"/>
      <c r="C38" s="99"/>
      <c r="D38" s="53" t="s">
        <v>40</v>
      </c>
      <c r="E38" s="38"/>
      <c r="F38" s="38"/>
      <c r="G38" s="38"/>
      <c r="H38" s="38"/>
      <c r="I38" s="38"/>
      <c r="J38" s="38"/>
      <c r="K38" s="38"/>
      <c r="L38" s="38"/>
      <c r="M38" s="38"/>
      <c r="N38" s="25">
        <f t="shared" si="0"/>
        <v>0</v>
      </c>
      <c r="O38" s="38">
        <v>2</v>
      </c>
      <c r="P38" s="38">
        <v>2</v>
      </c>
      <c r="Q38" s="38">
        <v>2</v>
      </c>
      <c r="R38" s="38">
        <v>2</v>
      </c>
      <c r="S38" s="25">
        <f t="shared" si="1"/>
        <v>8</v>
      </c>
      <c r="T38" s="26">
        <f t="shared" si="2"/>
        <v>8</v>
      </c>
      <c r="U38" s="74"/>
      <c r="V38" s="4"/>
      <c r="W38" s="4"/>
      <c r="X38" s="4"/>
      <c r="Y38" s="4"/>
      <c r="Z38" s="4"/>
      <c r="AA38" s="4"/>
      <c r="AB38" s="4"/>
    </row>
    <row r="39" spans="1:28" ht="13">
      <c r="A39" s="100"/>
      <c r="B39" s="99"/>
      <c r="C39" s="99"/>
      <c r="D39" s="36" t="s">
        <v>41</v>
      </c>
      <c r="E39" s="37"/>
      <c r="F39" s="37"/>
      <c r="G39" s="37"/>
      <c r="H39" s="37"/>
      <c r="I39" s="37"/>
      <c r="J39" s="37"/>
      <c r="K39" s="37"/>
      <c r="L39" s="37"/>
      <c r="M39" s="37"/>
      <c r="N39" s="25">
        <f t="shared" si="0"/>
        <v>0</v>
      </c>
      <c r="O39" s="37"/>
      <c r="P39" s="37"/>
      <c r="Q39" s="37">
        <v>2</v>
      </c>
      <c r="R39" s="37">
        <v>2</v>
      </c>
      <c r="S39" s="25">
        <f t="shared" si="1"/>
        <v>4</v>
      </c>
      <c r="T39" s="26">
        <f t="shared" si="2"/>
        <v>4</v>
      </c>
      <c r="U39" s="74"/>
    </row>
    <row r="40" spans="1:28" ht="13">
      <c r="A40" s="100"/>
      <c r="B40" s="100"/>
      <c r="C40" s="100"/>
      <c r="D40" s="36" t="s">
        <v>42</v>
      </c>
      <c r="E40" s="37"/>
      <c r="F40" s="37"/>
      <c r="G40" s="37"/>
      <c r="H40" s="37"/>
      <c r="I40" s="37"/>
      <c r="J40" s="37"/>
      <c r="K40" s="37"/>
      <c r="L40" s="37"/>
      <c r="M40" s="37"/>
      <c r="N40" s="25">
        <f t="shared" si="0"/>
        <v>0</v>
      </c>
      <c r="O40" s="37">
        <v>1</v>
      </c>
      <c r="P40" s="37">
        <v>1</v>
      </c>
      <c r="Q40" s="37">
        <v>2</v>
      </c>
      <c r="R40" s="37">
        <v>2</v>
      </c>
      <c r="S40" s="25">
        <f t="shared" si="1"/>
        <v>6</v>
      </c>
      <c r="T40" s="26">
        <f t="shared" si="2"/>
        <v>6</v>
      </c>
      <c r="U40" s="75"/>
      <c r="V40" s="3"/>
      <c r="W40" s="3"/>
      <c r="X40" s="3"/>
      <c r="Y40" s="3"/>
      <c r="Z40" s="3"/>
      <c r="AA40" s="3"/>
      <c r="AB40" s="3"/>
    </row>
    <row r="41" spans="1:28" ht="13">
      <c r="A41" s="104">
        <v>11</v>
      </c>
      <c r="B41" s="105" t="s">
        <v>43</v>
      </c>
      <c r="C41" s="104"/>
      <c r="D41" s="36" t="s">
        <v>39</v>
      </c>
      <c r="E41" s="37">
        <v>2</v>
      </c>
      <c r="F41" s="37">
        <v>2</v>
      </c>
      <c r="G41" s="37">
        <v>2</v>
      </c>
      <c r="H41" s="37"/>
      <c r="I41" s="37"/>
      <c r="J41" s="37"/>
      <c r="K41" s="37"/>
      <c r="L41" s="37">
        <v>2</v>
      </c>
      <c r="M41" s="37">
        <v>2</v>
      </c>
      <c r="N41" s="25">
        <f t="shared" si="0"/>
        <v>10</v>
      </c>
      <c r="O41" s="37"/>
      <c r="P41" s="37"/>
      <c r="Q41" s="37"/>
      <c r="R41" s="37"/>
      <c r="S41" s="25">
        <f t="shared" si="1"/>
        <v>0</v>
      </c>
      <c r="T41" s="26">
        <f t="shared" si="2"/>
        <v>10</v>
      </c>
      <c r="U41" s="73">
        <f>SUM(T41:T44)</f>
        <v>23</v>
      </c>
    </row>
    <row r="42" spans="1:28" ht="13">
      <c r="A42" s="100"/>
      <c r="B42" s="99"/>
      <c r="C42" s="99"/>
      <c r="D42" s="36" t="s">
        <v>40</v>
      </c>
      <c r="E42" s="37">
        <v>1</v>
      </c>
      <c r="F42" s="37">
        <v>1</v>
      </c>
      <c r="G42" s="37">
        <v>1</v>
      </c>
      <c r="H42" s="37"/>
      <c r="I42" s="37"/>
      <c r="J42" s="37"/>
      <c r="K42" s="37"/>
      <c r="L42" s="37">
        <v>1</v>
      </c>
      <c r="M42" s="37">
        <v>1</v>
      </c>
      <c r="N42" s="25">
        <f t="shared" si="0"/>
        <v>5</v>
      </c>
      <c r="O42" s="37"/>
      <c r="P42" s="37"/>
      <c r="Q42" s="37"/>
      <c r="R42" s="37"/>
      <c r="S42" s="25">
        <f t="shared" si="1"/>
        <v>0</v>
      </c>
      <c r="T42" s="26">
        <f t="shared" si="2"/>
        <v>5</v>
      </c>
      <c r="U42" s="74"/>
    </row>
    <row r="43" spans="1:28" ht="13">
      <c r="A43" s="100"/>
      <c r="B43" s="99"/>
      <c r="C43" s="99"/>
      <c r="D43" s="53" t="s">
        <v>44</v>
      </c>
      <c r="E43" s="38"/>
      <c r="F43" s="38"/>
      <c r="G43" s="38"/>
      <c r="H43" s="38"/>
      <c r="I43" s="38"/>
      <c r="J43" s="38"/>
      <c r="K43" s="38"/>
      <c r="L43" s="38">
        <v>1</v>
      </c>
      <c r="M43" s="38">
        <v>1</v>
      </c>
      <c r="N43" s="25">
        <f t="shared" si="0"/>
        <v>2</v>
      </c>
      <c r="O43" s="38">
        <v>3</v>
      </c>
      <c r="P43" s="38"/>
      <c r="Q43" s="38">
        <v>3</v>
      </c>
      <c r="R43" s="38"/>
      <c r="S43" s="25">
        <f t="shared" si="1"/>
        <v>6</v>
      </c>
      <c r="T43" s="26">
        <f t="shared" si="2"/>
        <v>8</v>
      </c>
      <c r="U43" s="74"/>
      <c r="V43" s="4"/>
      <c r="W43" s="4"/>
      <c r="X43" s="4"/>
      <c r="Y43" s="4"/>
      <c r="Z43" s="4"/>
      <c r="AA43" s="4"/>
      <c r="AB43" s="4"/>
    </row>
    <row r="44" spans="1:28" ht="13">
      <c r="A44" s="100"/>
      <c r="B44" s="100"/>
      <c r="C44" s="100"/>
      <c r="D44" s="36" t="s">
        <v>45</v>
      </c>
      <c r="E44" s="37"/>
      <c r="F44" s="37"/>
      <c r="G44" s="37"/>
      <c r="H44" s="37"/>
      <c r="I44" s="37"/>
      <c r="J44" s="37"/>
      <c r="K44" s="37"/>
      <c r="L44" s="37"/>
      <c r="M44" s="37"/>
      <c r="N44" s="25">
        <f t="shared" si="0"/>
        <v>0</v>
      </c>
      <c r="O44" s="24"/>
      <c r="P44" s="24"/>
      <c r="Q44" s="24"/>
      <c r="R44" s="24"/>
      <c r="S44" s="25">
        <f t="shared" si="1"/>
        <v>0</v>
      </c>
      <c r="T44" s="26">
        <f t="shared" si="2"/>
        <v>0</v>
      </c>
      <c r="U44" s="75"/>
      <c r="V44" s="3"/>
      <c r="W44" s="3"/>
      <c r="X44" s="3"/>
      <c r="Y44" s="3"/>
      <c r="Z44" s="3"/>
      <c r="AA44" s="3"/>
      <c r="AB44" s="3"/>
    </row>
    <row r="45" spans="1:28" s="20" customFormat="1" ht="13">
      <c r="A45" s="94">
        <v>12</v>
      </c>
      <c r="B45" s="92" t="s">
        <v>46</v>
      </c>
      <c r="C45" s="94"/>
      <c r="D45" s="36" t="s">
        <v>47</v>
      </c>
      <c r="E45" s="37"/>
      <c r="F45" s="37"/>
      <c r="G45" s="37"/>
      <c r="H45" s="37"/>
      <c r="I45" s="37"/>
      <c r="J45" s="37">
        <v>3</v>
      </c>
      <c r="K45" s="37"/>
      <c r="L45" s="38">
        <v>3</v>
      </c>
      <c r="M45" s="39">
        <v>3</v>
      </c>
      <c r="N45" s="40">
        <f t="shared" si="0"/>
        <v>9</v>
      </c>
      <c r="O45" s="37"/>
      <c r="P45" s="37"/>
      <c r="Q45" s="37">
        <v>4</v>
      </c>
      <c r="R45" s="37">
        <v>4</v>
      </c>
      <c r="S45" s="40">
        <f t="shared" si="1"/>
        <v>8</v>
      </c>
      <c r="T45" s="41">
        <f t="shared" si="2"/>
        <v>17</v>
      </c>
      <c r="U45" s="73">
        <f>SUM(T45:T48)</f>
        <v>21</v>
      </c>
    </row>
    <row r="46" spans="1:28" ht="13">
      <c r="A46" s="93"/>
      <c r="B46" s="95"/>
      <c r="C46" s="95"/>
      <c r="D46" s="22" t="s">
        <v>26</v>
      </c>
      <c r="E46" s="24"/>
      <c r="F46" s="24"/>
      <c r="G46" s="24"/>
      <c r="H46" s="24"/>
      <c r="I46" s="24"/>
      <c r="J46" s="24">
        <v>1</v>
      </c>
      <c r="K46" s="24"/>
      <c r="L46" s="29"/>
      <c r="M46" s="32"/>
      <c r="N46" s="25">
        <f t="shared" si="0"/>
        <v>1</v>
      </c>
      <c r="O46" s="24"/>
      <c r="P46" s="24"/>
      <c r="Q46" s="24" t="s">
        <v>123</v>
      </c>
      <c r="R46" s="24" t="s">
        <v>123</v>
      </c>
      <c r="S46" s="25">
        <f t="shared" si="1"/>
        <v>0</v>
      </c>
      <c r="T46" s="26">
        <f t="shared" si="2"/>
        <v>1</v>
      </c>
      <c r="U46" s="74"/>
    </row>
    <row r="47" spans="1:28" ht="13">
      <c r="A47" s="93"/>
      <c r="B47" s="95"/>
      <c r="C47" s="95"/>
      <c r="D47" s="22" t="s">
        <v>48</v>
      </c>
      <c r="E47" s="24"/>
      <c r="F47" s="24"/>
      <c r="G47" s="24"/>
      <c r="H47" s="24"/>
      <c r="I47" s="24"/>
      <c r="J47" s="24"/>
      <c r="K47" s="24"/>
      <c r="L47" s="24"/>
      <c r="M47" s="24"/>
      <c r="N47" s="25">
        <f t="shared" si="0"/>
        <v>0</v>
      </c>
      <c r="O47" s="24"/>
      <c r="P47" s="24"/>
      <c r="Q47" s="24"/>
      <c r="R47" s="24">
        <v>3</v>
      </c>
      <c r="S47" s="25">
        <f t="shared" si="1"/>
        <v>3</v>
      </c>
      <c r="T47" s="26">
        <f t="shared" si="2"/>
        <v>3</v>
      </c>
      <c r="U47" s="74"/>
    </row>
    <row r="48" spans="1:28" ht="13">
      <c r="A48" s="93"/>
      <c r="B48" s="93"/>
      <c r="C48" s="93"/>
      <c r="D48" s="22" t="s">
        <v>49</v>
      </c>
      <c r="E48" s="24"/>
      <c r="F48" s="24"/>
      <c r="G48" s="24"/>
      <c r="H48" s="24"/>
      <c r="I48" s="24"/>
      <c r="J48" s="24"/>
      <c r="K48" s="24"/>
      <c r="L48" s="24" t="s">
        <v>123</v>
      </c>
      <c r="M48" s="24"/>
      <c r="N48" s="25">
        <f t="shared" si="0"/>
        <v>0</v>
      </c>
      <c r="O48" s="24"/>
      <c r="P48" s="24"/>
      <c r="Q48" s="24"/>
      <c r="R48" s="24"/>
      <c r="S48" s="25">
        <f t="shared" si="1"/>
        <v>0</v>
      </c>
      <c r="T48" s="26">
        <f t="shared" si="2"/>
        <v>0</v>
      </c>
      <c r="U48" s="75"/>
      <c r="V48" s="3"/>
      <c r="W48" s="3"/>
      <c r="X48" s="3"/>
      <c r="Y48" s="3"/>
      <c r="Z48" s="3"/>
      <c r="AA48" s="3"/>
      <c r="AB48" s="3"/>
    </row>
    <row r="49" spans="1:28" ht="13">
      <c r="A49" s="94">
        <v>13</v>
      </c>
      <c r="B49" s="92" t="s">
        <v>50</v>
      </c>
      <c r="C49" s="94"/>
      <c r="D49" s="22" t="s">
        <v>47</v>
      </c>
      <c r="E49" s="24"/>
      <c r="F49" s="24"/>
      <c r="G49" s="24"/>
      <c r="H49" s="24">
        <v>3</v>
      </c>
      <c r="I49" s="24">
        <v>3</v>
      </c>
      <c r="J49" s="32"/>
      <c r="K49" s="32"/>
      <c r="L49" s="24"/>
      <c r="M49" s="24"/>
      <c r="N49" s="25">
        <f t="shared" si="0"/>
        <v>6</v>
      </c>
      <c r="O49" s="24">
        <v>4</v>
      </c>
      <c r="P49" s="24">
        <v>4</v>
      </c>
      <c r="Q49" s="24"/>
      <c r="R49" s="24"/>
      <c r="S49" s="25">
        <f t="shared" si="1"/>
        <v>8</v>
      </c>
      <c r="T49" s="26">
        <f t="shared" si="2"/>
        <v>14</v>
      </c>
      <c r="U49" s="73">
        <f>SUM(T49:T52)</f>
        <v>19</v>
      </c>
    </row>
    <row r="50" spans="1:28" ht="13">
      <c r="A50" s="93"/>
      <c r="B50" s="95"/>
      <c r="C50" s="95"/>
      <c r="D50" s="22" t="s">
        <v>26</v>
      </c>
      <c r="E50" s="24"/>
      <c r="F50" s="24"/>
      <c r="G50" s="24"/>
      <c r="H50" s="24">
        <v>1</v>
      </c>
      <c r="I50" s="24">
        <v>1</v>
      </c>
      <c r="J50" s="23"/>
      <c r="K50" s="23"/>
      <c r="L50" s="24"/>
      <c r="M50" s="24"/>
      <c r="N50" s="25">
        <f t="shared" si="0"/>
        <v>2</v>
      </c>
      <c r="O50" s="24"/>
      <c r="P50" s="24"/>
      <c r="Q50" s="24"/>
      <c r="R50" s="24"/>
      <c r="S50" s="25">
        <f t="shared" si="1"/>
        <v>0</v>
      </c>
      <c r="T50" s="26">
        <f t="shared" si="2"/>
        <v>2</v>
      </c>
      <c r="U50" s="74"/>
    </row>
    <row r="51" spans="1:28" ht="13">
      <c r="A51" s="93"/>
      <c r="B51" s="95"/>
      <c r="C51" s="95"/>
      <c r="D51" s="22" t="s">
        <v>48</v>
      </c>
      <c r="E51" s="24"/>
      <c r="F51" s="24"/>
      <c r="G51" s="24"/>
      <c r="H51" s="24"/>
      <c r="I51" s="24"/>
      <c r="J51" s="24"/>
      <c r="K51" s="24"/>
      <c r="L51" s="24"/>
      <c r="M51" s="24"/>
      <c r="N51" s="25">
        <f t="shared" si="0"/>
        <v>0</v>
      </c>
      <c r="O51" s="24">
        <v>3</v>
      </c>
      <c r="P51" s="24"/>
      <c r="Q51" s="24"/>
      <c r="R51" s="24"/>
      <c r="S51" s="25">
        <f t="shared" si="1"/>
        <v>3</v>
      </c>
      <c r="T51" s="26">
        <f t="shared" si="2"/>
        <v>3</v>
      </c>
      <c r="U51" s="74"/>
    </row>
    <row r="52" spans="1:28" ht="13">
      <c r="A52" s="93"/>
      <c r="B52" s="93"/>
      <c r="C52" s="93"/>
      <c r="D52" s="22" t="s">
        <v>49</v>
      </c>
      <c r="E52" s="24"/>
      <c r="F52" s="24"/>
      <c r="G52" s="24"/>
      <c r="H52" s="24"/>
      <c r="I52" s="24"/>
      <c r="J52" s="24"/>
      <c r="K52" s="24"/>
      <c r="L52" s="24"/>
      <c r="M52" s="24"/>
      <c r="N52" s="25">
        <f t="shared" si="0"/>
        <v>0</v>
      </c>
      <c r="O52" s="24"/>
      <c r="P52" s="24"/>
      <c r="Q52" s="24"/>
      <c r="R52" s="24"/>
      <c r="S52" s="25">
        <f t="shared" si="1"/>
        <v>0</v>
      </c>
      <c r="T52" s="26">
        <f t="shared" si="2"/>
        <v>0</v>
      </c>
      <c r="U52" s="75"/>
      <c r="V52" s="3"/>
      <c r="W52" s="3"/>
      <c r="X52" s="3"/>
      <c r="Y52" s="3"/>
      <c r="Z52" s="3"/>
      <c r="AA52" s="3"/>
      <c r="AB52" s="3"/>
    </row>
    <row r="53" spans="1:28" ht="13">
      <c r="A53" s="94">
        <v>14</v>
      </c>
      <c r="B53" s="92" t="s">
        <v>51</v>
      </c>
      <c r="C53" s="94"/>
      <c r="D53" s="22" t="s">
        <v>52</v>
      </c>
      <c r="E53" s="24">
        <v>3</v>
      </c>
      <c r="F53" s="24">
        <v>3</v>
      </c>
      <c r="G53" s="24">
        <v>3</v>
      </c>
      <c r="H53" s="24"/>
      <c r="I53" s="32"/>
      <c r="J53" s="32"/>
      <c r="K53" s="24">
        <v>3</v>
      </c>
      <c r="L53" s="24"/>
      <c r="M53" s="24"/>
      <c r="N53" s="25">
        <f t="shared" si="0"/>
        <v>12</v>
      </c>
      <c r="O53" s="24"/>
      <c r="P53" s="24"/>
      <c r="Q53" s="24"/>
      <c r="R53" s="24"/>
      <c r="S53" s="25">
        <f t="shared" si="1"/>
        <v>0</v>
      </c>
      <c r="T53" s="26">
        <f t="shared" si="2"/>
        <v>12</v>
      </c>
      <c r="U53" s="73">
        <f>SUM(T53:T55)</f>
        <v>19</v>
      </c>
    </row>
    <row r="54" spans="1:28" ht="13">
      <c r="A54" s="93"/>
      <c r="B54" s="95"/>
      <c r="C54" s="95"/>
      <c r="D54" s="22" t="s">
        <v>26</v>
      </c>
      <c r="E54" s="24">
        <v>1</v>
      </c>
      <c r="F54" s="24">
        <v>1</v>
      </c>
      <c r="G54" s="24">
        <v>1</v>
      </c>
      <c r="H54" s="24"/>
      <c r="I54" s="23"/>
      <c r="J54" s="23"/>
      <c r="K54" s="24">
        <v>1</v>
      </c>
      <c r="L54" s="24"/>
      <c r="M54" s="24"/>
      <c r="N54" s="25">
        <f t="shared" si="0"/>
        <v>4</v>
      </c>
      <c r="O54" s="24"/>
      <c r="P54" s="24"/>
      <c r="Q54" s="24"/>
      <c r="R54" s="24"/>
      <c r="S54" s="25">
        <f t="shared" si="1"/>
        <v>0</v>
      </c>
      <c r="T54" s="26">
        <f t="shared" si="2"/>
        <v>4</v>
      </c>
      <c r="U54" s="74"/>
    </row>
    <row r="55" spans="1:28" ht="13">
      <c r="A55" s="93"/>
      <c r="B55" s="93"/>
      <c r="C55" s="93"/>
      <c r="D55" s="22" t="s">
        <v>53</v>
      </c>
      <c r="E55" s="24">
        <v>1</v>
      </c>
      <c r="F55" s="24">
        <v>1</v>
      </c>
      <c r="G55" s="24">
        <v>1</v>
      </c>
      <c r="H55" s="24"/>
      <c r="I55" s="24"/>
      <c r="J55" s="24"/>
      <c r="K55" s="24"/>
      <c r="L55" s="24"/>
      <c r="M55" s="24"/>
      <c r="N55" s="25">
        <f t="shared" si="0"/>
        <v>3</v>
      </c>
      <c r="O55" s="24"/>
      <c r="P55" s="24"/>
      <c r="Q55" s="24"/>
      <c r="R55" s="24"/>
      <c r="S55" s="25">
        <f t="shared" si="1"/>
        <v>0</v>
      </c>
      <c r="T55" s="26">
        <f t="shared" si="2"/>
        <v>3</v>
      </c>
      <c r="U55" s="75"/>
      <c r="V55" s="3"/>
      <c r="W55" s="3"/>
      <c r="X55" s="3"/>
      <c r="Y55" s="3"/>
      <c r="Z55" s="3"/>
      <c r="AA55" s="3"/>
      <c r="AB55" s="3"/>
    </row>
    <row r="56" spans="1:28" ht="13">
      <c r="A56" s="94">
        <v>16</v>
      </c>
      <c r="B56" s="92" t="s">
        <v>54</v>
      </c>
      <c r="C56" s="94"/>
      <c r="D56" s="22" t="s">
        <v>55</v>
      </c>
      <c r="E56" s="24"/>
      <c r="F56" s="24"/>
      <c r="G56" s="24"/>
      <c r="H56" s="24"/>
      <c r="I56" s="24"/>
      <c r="J56" s="23"/>
      <c r="K56" s="24"/>
      <c r="L56" s="23"/>
      <c r="M56" s="23"/>
      <c r="N56" s="35">
        <f t="shared" si="0"/>
        <v>0</v>
      </c>
      <c r="O56" s="24"/>
      <c r="P56" s="24"/>
      <c r="Q56" s="24"/>
      <c r="R56" s="23"/>
      <c r="S56" s="35">
        <f t="shared" si="1"/>
        <v>0</v>
      </c>
      <c r="T56" s="35">
        <f t="shared" si="2"/>
        <v>0</v>
      </c>
      <c r="U56" s="81">
        <f>SUM(T56:T58)</f>
        <v>13</v>
      </c>
    </row>
    <row r="57" spans="1:28" ht="13">
      <c r="A57" s="93"/>
      <c r="B57" s="95"/>
      <c r="C57" s="95"/>
      <c r="D57" s="22" t="s">
        <v>56</v>
      </c>
      <c r="E57" s="24"/>
      <c r="F57" s="24"/>
      <c r="G57" s="24"/>
      <c r="H57" s="24"/>
      <c r="I57" s="24"/>
      <c r="J57" s="23"/>
      <c r="K57" s="24"/>
      <c r="L57" s="23"/>
      <c r="M57" s="23"/>
      <c r="N57" s="35">
        <f t="shared" si="0"/>
        <v>0</v>
      </c>
      <c r="O57" s="24"/>
      <c r="P57" s="24"/>
      <c r="Q57" s="24"/>
      <c r="R57" s="23"/>
      <c r="S57" s="35">
        <f t="shared" si="1"/>
        <v>0</v>
      </c>
      <c r="T57" s="35">
        <f t="shared" si="2"/>
        <v>0</v>
      </c>
      <c r="U57" s="83"/>
    </row>
    <row r="58" spans="1:28" ht="13">
      <c r="A58" s="93"/>
      <c r="B58" s="93"/>
      <c r="C58" s="93"/>
      <c r="D58" s="22" t="s">
        <v>57</v>
      </c>
      <c r="E58" s="24">
        <v>1</v>
      </c>
      <c r="F58" s="24">
        <v>1</v>
      </c>
      <c r="G58" s="24">
        <v>1</v>
      </c>
      <c r="H58" s="24">
        <v>1</v>
      </c>
      <c r="I58" s="24">
        <v>1</v>
      </c>
      <c r="J58" s="24">
        <v>1</v>
      </c>
      <c r="K58" s="24">
        <v>1</v>
      </c>
      <c r="L58" s="24">
        <v>1</v>
      </c>
      <c r="M58" s="24">
        <v>1</v>
      </c>
      <c r="N58" s="35">
        <f t="shared" si="0"/>
        <v>9</v>
      </c>
      <c r="O58" s="24">
        <v>1</v>
      </c>
      <c r="P58" s="24">
        <v>1</v>
      </c>
      <c r="Q58" s="24">
        <v>1</v>
      </c>
      <c r="R58" s="32">
        <v>1</v>
      </c>
      <c r="S58" s="35">
        <f t="shared" si="1"/>
        <v>4</v>
      </c>
      <c r="T58" s="35">
        <f t="shared" si="2"/>
        <v>13</v>
      </c>
      <c r="U58" s="82"/>
      <c r="V58" s="3"/>
      <c r="W58" s="3"/>
      <c r="X58" s="3"/>
      <c r="Y58" s="3"/>
      <c r="Z58" s="3"/>
      <c r="AA58" s="3"/>
      <c r="AB58" s="3"/>
    </row>
    <row r="59" spans="1:28" ht="13">
      <c r="A59" s="94">
        <v>17</v>
      </c>
      <c r="B59" s="92" t="s">
        <v>58</v>
      </c>
      <c r="C59" s="94"/>
      <c r="D59" s="22" t="s">
        <v>55</v>
      </c>
      <c r="E59" s="24"/>
      <c r="F59" s="24"/>
      <c r="G59" s="24"/>
      <c r="H59" s="24"/>
      <c r="I59" s="24"/>
      <c r="J59" s="24"/>
      <c r="K59" s="24">
        <v>2</v>
      </c>
      <c r="L59" s="24"/>
      <c r="M59" s="24"/>
      <c r="N59" s="25">
        <f t="shared" si="0"/>
        <v>2</v>
      </c>
      <c r="O59" s="24">
        <v>1</v>
      </c>
      <c r="P59" s="24">
        <v>1</v>
      </c>
      <c r="Q59" s="24">
        <v>1</v>
      </c>
      <c r="R59" s="24"/>
      <c r="S59" s="25">
        <f t="shared" si="1"/>
        <v>3</v>
      </c>
      <c r="T59" s="26">
        <f t="shared" si="2"/>
        <v>5</v>
      </c>
      <c r="U59" s="73">
        <f>SUM(T59:T61)</f>
        <v>20</v>
      </c>
    </row>
    <row r="60" spans="1:28" ht="13">
      <c r="A60" s="93"/>
      <c r="B60" s="95"/>
      <c r="C60" s="95"/>
      <c r="D60" s="22" t="s">
        <v>56</v>
      </c>
      <c r="E60" s="24"/>
      <c r="F60" s="24"/>
      <c r="G60" s="24"/>
      <c r="H60" s="24">
        <v>2</v>
      </c>
      <c r="I60" s="24"/>
      <c r="J60" s="24"/>
      <c r="K60" s="24">
        <v>2</v>
      </c>
      <c r="L60" s="24"/>
      <c r="M60" s="24"/>
      <c r="N60" s="25">
        <f t="shared" si="0"/>
        <v>4</v>
      </c>
      <c r="O60" s="24">
        <v>2</v>
      </c>
      <c r="P60" s="24">
        <v>2</v>
      </c>
      <c r="Q60" s="24">
        <v>2</v>
      </c>
      <c r="R60" s="24"/>
      <c r="S60" s="25">
        <f t="shared" si="1"/>
        <v>6</v>
      </c>
      <c r="T60" s="26">
        <f t="shared" si="2"/>
        <v>10</v>
      </c>
      <c r="U60" s="74"/>
    </row>
    <row r="61" spans="1:28" ht="13">
      <c r="A61" s="93"/>
      <c r="B61" s="93"/>
      <c r="C61" s="93"/>
      <c r="D61" s="22" t="s">
        <v>59</v>
      </c>
      <c r="E61" s="24"/>
      <c r="F61" s="24"/>
      <c r="G61" s="24"/>
      <c r="H61" s="24">
        <v>1</v>
      </c>
      <c r="I61" s="24"/>
      <c r="J61" s="24"/>
      <c r="K61" s="24">
        <v>1</v>
      </c>
      <c r="L61" s="24"/>
      <c r="M61" s="24"/>
      <c r="N61" s="25">
        <f t="shared" si="0"/>
        <v>2</v>
      </c>
      <c r="O61" s="24">
        <v>1</v>
      </c>
      <c r="P61" s="24">
        <v>1</v>
      </c>
      <c r="Q61" s="24">
        <v>1</v>
      </c>
      <c r="R61" s="24"/>
      <c r="S61" s="25">
        <f t="shared" si="1"/>
        <v>3</v>
      </c>
      <c r="T61" s="26">
        <f t="shared" si="2"/>
        <v>5</v>
      </c>
      <c r="U61" s="75"/>
      <c r="V61" s="3"/>
      <c r="W61" s="3"/>
      <c r="X61" s="3"/>
      <c r="Y61" s="3"/>
      <c r="Z61" s="3"/>
      <c r="AA61" s="3"/>
      <c r="AB61" s="3"/>
    </row>
    <row r="62" spans="1:28" ht="13">
      <c r="A62" s="94">
        <v>18</v>
      </c>
      <c r="B62" s="92" t="s">
        <v>60</v>
      </c>
      <c r="C62" s="94"/>
      <c r="D62" s="22" t="s">
        <v>55</v>
      </c>
      <c r="E62" s="24">
        <v>2</v>
      </c>
      <c r="F62" s="24">
        <v>2</v>
      </c>
      <c r="G62" s="24">
        <v>2</v>
      </c>
      <c r="H62" s="24"/>
      <c r="I62" s="24"/>
      <c r="J62" s="24"/>
      <c r="K62" s="24"/>
      <c r="L62" s="23"/>
      <c r="M62" s="23"/>
      <c r="N62" s="25">
        <f t="shared" si="0"/>
        <v>6</v>
      </c>
      <c r="O62" s="24"/>
      <c r="P62" s="24"/>
      <c r="Q62" s="24"/>
      <c r="R62" s="24">
        <v>1</v>
      </c>
      <c r="S62" s="25">
        <f t="shared" si="1"/>
        <v>1</v>
      </c>
      <c r="T62" s="26">
        <f t="shared" si="2"/>
        <v>7</v>
      </c>
      <c r="U62" s="73">
        <f>SUM(T62:T64)</f>
        <v>18</v>
      </c>
    </row>
    <row r="63" spans="1:28" ht="13">
      <c r="A63" s="93"/>
      <c r="B63" s="95"/>
      <c r="C63" s="95"/>
      <c r="D63" s="22" t="s">
        <v>56</v>
      </c>
      <c r="E63" s="24">
        <v>2</v>
      </c>
      <c r="F63" s="24">
        <v>2</v>
      </c>
      <c r="G63" s="24">
        <v>2</v>
      </c>
      <c r="H63" s="24"/>
      <c r="I63" s="24"/>
      <c r="J63" s="24"/>
      <c r="K63" s="24"/>
      <c r="L63" s="23"/>
      <c r="M63" s="23"/>
      <c r="N63" s="25">
        <f t="shared" si="0"/>
        <v>6</v>
      </c>
      <c r="O63" s="24"/>
      <c r="P63" s="24"/>
      <c r="Q63" s="24"/>
      <c r="R63" s="24">
        <v>2</v>
      </c>
      <c r="S63" s="25">
        <f t="shared" si="1"/>
        <v>2</v>
      </c>
      <c r="T63" s="26">
        <f t="shared" si="2"/>
        <v>8</v>
      </c>
      <c r="U63" s="74"/>
    </row>
    <row r="64" spans="1:28" ht="13">
      <c r="A64" s="93"/>
      <c r="B64" s="93"/>
      <c r="C64" s="93"/>
      <c r="D64" s="22" t="s">
        <v>61</v>
      </c>
      <c r="E64" s="23"/>
      <c r="F64" s="23"/>
      <c r="G64" s="23"/>
      <c r="H64" s="23"/>
      <c r="I64" s="23">
        <v>1</v>
      </c>
      <c r="J64" s="24">
        <v>1</v>
      </c>
      <c r="K64" s="23"/>
      <c r="L64" s="23"/>
      <c r="M64" s="23"/>
      <c r="N64" s="25">
        <f t="shared" si="0"/>
        <v>2</v>
      </c>
      <c r="O64" s="24"/>
      <c r="P64" s="24"/>
      <c r="Q64" s="24"/>
      <c r="R64" s="24">
        <v>1</v>
      </c>
      <c r="S64" s="25">
        <f t="shared" si="1"/>
        <v>1</v>
      </c>
      <c r="T64" s="26">
        <f t="shared" si="2"/>
        <v>3</v>
      </c>
      <c r="U64" s="75"/>
      <c r="V64" s="3"/>
      <c r="W64" s="3"/>
      <c r="X64" s="3"/>
      <c r="Y64" s="3"/>
      <c r="Z64" s="3"/>
      <c r="AA64" s="3"/>
      <c r="AB64" s="3"/>
    </row>
    <row r="65" spans="1:28" ht="13">
      <c r="A65" s="94">
        <v>19</v>
      </c>
      <c r="B65" s="92" t="s">
        <v>62</v>
      </c>
      <c r="C65" s="94"/>
      <c r="D65" s="22" t="s">
        <v>55</v>
      </c>
      <c r="E65" s="23"/>
      <c r="F65" s="24"/>
      <c r="G65" s="24"/>
      <c r="H65" s="24">
        <v>2</v>
      </c>
      <c r="I65" s="24">
        <v>2</v>
      </c>
      <c r="J65" s="24">
        <v>2</v>
      </c>
      <c r="K65" s="24"/>
      <c r="L65" s="24">
        <v>2</v>
      </c>
      <c r="M65" s="24">
        <v>2</v>
      </c>
      <c r="N65" s="35">
        <f t="shared" si="0"/>
        <v>10</v>
      </c>
      <c r="O65" s="24"/>
      <c r="P65" s="24"/>
      <c r="Q65" s="24"/>
      <c r="R65" s="24"/>
      <c r="S65" s="35">
        <f t="shared" si="1"/>
        <v>0</v>
      </c>
      <c r="T65" s="35">
        <f t="shared" si="2"/>
        <v>10</v>
      </c>
      <c r="U65" s="81">
        <f>SUM(T65:T67)</f>
        <v>18</v>
      </c>
      <c r="V65" s="3"/>
      <c r="W65" s="3"/>
      <c r="X65" s="3"/>
      <c r="Y65" s="3"/>
      <c r="Z65" s="3"/>
      <c r="AA65" s="3"/>
      <c r="AB65" s="3"/>
    </row>
    <row r="66" spans="1:28" ht="13">
      <c r="A66" s="93"/>
      <c r="B66" s="95"/>
      <c r="C66" s="95"/>
      <c r="D66" s="22" t="s">
        <v>56</v>
      </c>
      <c r="E66" s="23"/>
      <c r="F66" s="24"/>
      <c r="G66" s="24"/>
      <c r="H66" s="24"/>
      <c r="I66" s="24">
        <v>2</v>
      </c>
      <c r="J66" s="24">
        <v>2</v>
      </c>
      <c r="K66" s="24"/>
      <c r="L66" s="24">
        <v>2</v>
      </c>
      <c r="M66" s="24">
        <v>2</v>
      </c>
      <c r="N66" s="35">
        <f t="shared" si="0"/>
        <v>8</v>
      </c>
      <c r="O66" s="24"/>
      <c r="P66" s="24"/>
      <c r="Q66" s="24"/>
      <c r="R66" s="24"/>
      <c r="S66" s="35">
        <f t="shared" si="1"/>
        <v>0</v>
      </c>
      <c r="T66" s="35">
        <f t="shared" si="2"/>
        <v>8</v>
      </c>
      <c r="U66" s="83"/>
      <c r="V66" s="3"/>
      <c r="W66" s="3"/>
      <c r="X66" s="3"/>
      <c r="Y66" s="3"/>
      <c r="Z66" s="3"/>
      <c r="AA66" s="3"/>
      <c r="AB66" s="3"/>
    </row>
    <row r="67" spans="1:28" ht="13">
      <c r="A67" s="93"/>
      <c r="B67" s="93"/>
      <c r="C67" s="93"/>
      <c r="D67" s="22" t="s">
        <v>59</v>
      </c>
      <c r="E67" s="24"/>
      <c r="F67" s="24"/>
      <c r="G67" s="24"/>
      <c r="H67" s="24"/>
      <c r="I67" s="24"/>
      <c r="J67" s="24"/>
      <c r="K67" s="24"/>
      <c r="L67" s="24"/>
      <c r="M67" s="24"/>
      <c r="N67" s="35">
        <f t="shared" si="0"/>
        <v>0</v>
      </c>
      <c r="O67" s="24"/>
      <c r="P67" s="24"/>
      <c r="Q67" s="24"/>
      <c r="R67" s="24"/>
      <c r="S67" s="35">
        <f t="shared" si="1"/>
        <v>0</v>
      </c>
      <c r="T67" s="35">
        <f t="shared" si="2"/>
        <v>0</v>
      </c>
      <c r="U67" s="82"/>
      <c r="V67" s="3"/>
      <c r="W67" s="3"/>
      <c r="X67" s="3"/>
      <c r="Y67" s="3"/>
      <c r="Z67" s="3"/>
      <c r="AA67" s="3"/>
      <c r="AB67" s="3"/>
    </row>
    <row r="68" spans="1:28" ht="13">
      <c r="A68" s="38">
        <v>20</v>
      </c>
      <c r="B68" s="53" t="s">
        <v>63</v>
      </c>
      <c r="C68" s="38"/>
      <c r="D68" s="53" t="s">
        <v>64</v>
      </c>
      <c r="E68" s="38"/>
      <c r="F68" s="38"/>
      <c r="G68" s="38"/>
      <c r="H68" s="38"/>
      <c r="I68" s="38"/>
      <c r="J68" s="38">
        <v>3</v>
      </c>
      <c r="K68" s="38">
        <v>3</v>
      </c>
      <c r="L68" s="38">
        <v>3</v>
      </c>
      <c r="M68" s="38">
        <v>3</v>
      </c>
      <c r="N68" s="25">
        <f t="shared" si="0"/>
        <v>12</v>
      </c>
      <c r="O68" s="38">
        <v>2</v>
      </c>
      <c r="P68" s="38">
        <v>2</v>
      </c>
      <c r="Q68" s="38">
        <v>2</v>
      </c>
      <c r="R68" s="38">
        <v>2</v>
      </c>
      <c r="S68" s="25">
        <f t="shared" si="1"/>
        <v>8</v>
      </c>
      <c r="T68" s="26">
        <f t="shared" si="2"/>
        <v>20</v>
      </c>
      <c r="U68" s="27">
        <f t="shared" ref="U68:U69" si="3">T68</f>
        <v>20</v>
      </c>
      <c r="V68" s="5"/>
      <c r="W68" s="5"/>
      <c r="X68" s="5"/>
      <c r="Y68" s="5"/>
      <c r="Z68" s="5"/>
      <c r="AA68" s="5"/>
      <c r="AB68" s="5"/>
    </row>
    <row r="69" spans="1:28" s="65" customFormat="1" ht="13">
      <c r="A69" s="29">
        <v>21</v>
      </c>
      <c r="B69" s="28" t="s">
        <v>65</v>
      </c>
      <c r="C69" s="29"/>
      <c r="D69" s="28" t="s">
        <v>64</v>
      </c>
      <c r="E69" s="29">
        <v>3</v>
      </c>
      <c r="F69" s="29">
        <v>3</v>
      </c>
      <c r="G69" s="29">
        <v>3</v>
      </c>
      <c r="H69" s="29">
        <v>3</v>
      </c>
      <c r="I69" s="29">
        <v>3</v>
      </c>
      <c r="J69" s="29"/>
      <c r="K69" s="29"/>
      <c r="L69" s="29"/>
      <c r="M69" s="29"/>
      <c r="N69" s="66">
        <f t="shared" si="0"/>
        <v>15</v>
      </c>
      <c r="O69" s="29"/>
      <c r="P69" s="29"/>
      <c r="Q69" s="29"/>
      <c r="R69" s="29"/>
      <c r="S69" s="66">
        <f t="shared" si="1"/>
        <v>0</v>
      </c>
      <c r="T69" s="67">
        <f t="shared" si="2"/>
        <v>15</v>
      </c>
      <c r="U69" s="68">
        <f t="shared" si="3"/>
        <v>15</v>
      </c>
      <c r="V69" s="5"/>
      <c r="W69" s="5"/>
      <c r="X69" s="5"/>
      <c r="Y69" s="5"/>
      <c r="Z69" s="5"/>
      <c r="AA69" s="5"/>
      <c r="AB69" s="5"/>
    </row>
    <row r="70" spans="1:28" ht="13">
      <c r="A70" s="94">
        <v>22</v>
      </c>
      <c r="B70" s="92" t="s">
        <v>66</v>
      </c>
      <c r="C70" s="94"/>
      <c r="D70" s="22" t="s">
        <v>67</v>
      </c>
      <c r="E70" s="37">
        <v>1</v>
      </c>
      <c r="F70" s="37">
        <v>1</v>
      </c>
      <c r="G70" s="37">
        <v>1</v>
      </c>
      <c r="H70" s="37" t="s">
        <v>123</v>
      </c>
      <c r="I70" s="37" t="s">
        <v>123</v>
      </c>
      <c r="J70" s="37" t="s">
        <v>123</v>
      </c>
      <c r="K70" s="37" t="s">
        <v>123</v>
      </c>
      <c r="L70" s="37">
        <v>1</v>
      </c>
      <c r="M70" s="37">
        <v>1</v>
      </c>
      <c r="N70" s="25">
        <f t="shared" si="0"/>
        <v>5</v>
      </c>
      <c r="O70" s="24">
        <v>2</v>
      </c>
      <c r="P70" s="24"/>
      <c r="Q70" s="24">
        <v>2</v>
      </c>
      <c r="R70" s="24">
        <v>2</v>
      </c>
      <c r="S70" s="25">
        <f t="shared" si="1"/>
        <v>6</v>
      </c>
      <c r="T70" s="26">
        <f t="shared" si="2"/>
        <v>11</v>
      </c>
      <c r="U70" s="73">
        <f>SUM(T70:T71)</f>
        <v>22</v>
      </c>
    </row>
    <row r="71" spans="1:28" ht="14" thickBot="1">
      <c r="A71" s="93"/>
      <c r="B71" s="93"/>
      <c r="C71" s="93"/>
      <c r="D71" s="22" t="s">
        <v>68</v>
      </c>
      <c r="E71" s="38">
        <v>1</v>
      </c>
      <c r="F71" s="38">
        <v>1</v>
      </c>
      <c r="G71" s="38">
        <v>1</v>
      </c>
      <c r="H71" s="38" t="s">
        <v>123</v>
      </c>
      <c r="I71" s="38" t="s">
        <v>123</v>
      </c>
      <c r="J71" s="38" t="s">
        <v>123</v>
      </c>
      <c r="K71" s="38" t="s">
        <v>123</v>
      </c>
      <c r="L71" s="37">
        <v>1</v>
      </c>
      <c r="M71" s="37">
        <v>1</v>
      </c>
      <c r="N71" s="25">
        <f t="shared" si="0"/>
        <v>5</v>
      </c>
      <c r="O71" s="24">
        <v>2</v>
      </c>
      <c r="P71" s="24"/>
      <c r="Q71" s="24">
        <v>2</v>
      </c>
      <c r="R71" s="24">
        <v>2</v>
      </c>
      <c r="S71" s="25">
        <f t="shared" si="1"/>
        <v>6</v>
      </c>
      <c r="T71" s="26">
        <f t="shared" si="2"/>
        <v>11</v>
      </c>
      <c r="U71" s="75"/>
      <c r="V71" s="2"/>
      <c r="W71" s="2"/>
      <c r="X71" s="2"/>
      <c r="Y71" s="2"/>
      <c r="Z71" s="2"/>
      <c r="AA71" s="2"/>
      <c r="AB71" s="2"/>
    </row>
    <row r="72" spans="1:28" ht="13">
      <c r="A72" s="94">
        <v>24</v>
      </c>
      <c r="B72" s="92" t="s">
        <v>69</v>
      </c>
      <c r="C72" s="94"/>
      <c r="D72" s="22" t="s">
        <v>70</v>
      </c>
      <c r="E72" s="23"/>
      <c r="F72" s="24"/>
      <c r="G72" s="24"/>
      <c r="H72" s="24">
        <v>2</v>
      </c>
      <c r="I72" s="24">
        <v>2</v>
      </c>
      <c r="J72" s="24"/>
      <c r="K72" s="24"/>
      <c r="L72" s="24">
        <v>2</v>
      </c>
      <c r="M72" s="24">
        <v>2</v>
      </c>
      <c r="N72" s="25">
        <f t="shared" si="0"/>
        <v>8</v>
      </c>
      <c r="O72" s="24"/>
      <c r="P72" s="24"/>
      <c r="Q72" s="24">
        <v>2</v>
      </c>
      <c r="R72" s="24">
        <v>2</v>
      </c>
      <c r="S72" s="25">
        <f t="shared" si="1"/>
        <v>4</v>
      </c>
      <c r="T72" s="26">
        <f t="shared" si="2"/>
        <v>12</v>
      </c>
      <c r="U72" s="73">
        <f>SUM(T72:T73)</f>
        <v>18</v>
      </c>
    </row>
    <row r="73" spans="1:28" ht="13">
      <c r="A73" s="93"/>
      <c r="B73" s="93"/>
      <c r="C73" s="93"/>
      <c r="D73" s="22" t="s">
        <v>26</v>
      </c>
      <c r="E73" s="32"/>
      <c r="F73" s="24"/>
      <c r="G73" s="24"/>
      <c r="H73" s="24">
        <v>1</v>
      </c>
      <c r="I73" s="24">
        <v>1</v>
      </c>
      <c r="J73" s="24"/>
      <c r="K73" s="24"/>
      <c r="L73" s="24"/>
      <c r="M73" s="24"/>
      <c r="N73" s="25">
        <f t="shared" si="0"/>
        <v>2</v>
      </c>
      <c r="O73" s="24"/>
      <c r="P73" s="24"/>
      <c r="Q73" s="24">
        <v>2</v>
      </c>
      <c r="R73" s="24">
        <v>2</v>
      </c>
      <c r="S73" s="25">
        <f t="shared" si="1"/>
        <v>4</v>
      </c>
      <c r="T73" s="26">
        <f t="shared" si="2"/>
        <v>6</v>
      </c>
      <c r="U73" s="75"/>
      <c r="V73" s="3"/>
      <c r="W73" s="3"/>
      <c r="X73" s="3"/>
      <c r="Y73" s="3"/>
      <c r="Z73" s="3"/>
      <c r="AA73" s="3"/>
      <c r="AB73" s="3"/>
    </row>
    <row r="74" spans="1:28" ht="13">
      <c r="A74" s="103">
        <v>25</v>
      </c>
      <c r="B74" s="102" t="s">
        <v>71</v>
      </c>
      <c r="C74" s="103"/>
      <c r="D74" s="42" t="s">
        <v>70</v>
      </c>
      <c r="E74" s="43">
        <v>2</v>
      </c>
      <c r="F74" s="43">
        <v>2</v>
      </c>
      <c r="G74" s="44"/>
      <c r="H74" s="43"/>
      <c r="I74" s="43"/>
      <c r="J74" s="43">
        <v>2</v>
      </c>
      <c r="K74" s="43">
        <v>2</v>
      </c>
      <c r="L74" s="43"/>
      <c r="M74" s="44"/>
      <c r="N74" s="45">
        <f t="shared" si="0"/>
        <v>8</v>
      </c>
      <c r="O74" s="43">
        <v>2</v>
      </c>
      <c r="P74" s="43"/>
      <c r="Q74" s="43"/>
      <c r="R74" s="43"/>
      <c r="S74" s="45">
        <f t="shared" si="1"/>
        <v>2</v>
      </c>
      <c r="T74" s="45">
        <f t="shared" si="2"/>
        <v>10</v>
      </c>
      <c r="U74" s="79">
        <f>SUM(T74:T75)</f>
        <v>17</v>
      </c>
      <c r="V74" s="6"/>
      <c r="W74" s="6"/>
      <c r="X74" s="6"/>
      <c r="Y74" s="6"/>
      <c r="Z74" s="6"/>
      <c r="AA74" s="6"/>
      <c r="AB74" s="7"/>
    </row>
    <row r="75" spans="1:28" ht="13">
      <c r="A75" s="93"/>
      <c r="B75" s="93"/>
      <c r="C75" s="93"/>
      <c r="D75" s="42" t="s">
        <v>26</v>
      </c>
      <c r="E75" s="43">
        <v>1</v>
      </c>
      <c r="F75" s="43">
        <v>1</v>
      </c>
      <c r="G75" s="44"/>
      <c r="H75" s="43"/>
      <c r="I75" s="43"/>
      <c r="J75" s="43">
        <v>1</v>
      </c>
      <c r="K75" s="43">
        <v>1</v>
      </c>
      <c r="L75" s="43"/>
      <c r="M75" s="44"/>
      <c r="N75" s="45">
        <f t="shared" si="0"/>
        <v>4</v>
      </c>
      <c r="O75" s="43">
        <v>3</v>
      </c>
      <c r="P75" s="43"/>
      <c r="Q75" s="43"/>
      <c r="R75" s="43"/>
      <c r="S75" s="45">
        <f t="shared" si="1"/>
        <v>3</v>
      </c>
      <c r="T75" s="45">
        <f t="shared" si="2"/>
        <v>7</v>
      </c>
      <c r="U75" s="80"/>
      <c r="V75" s="8"/>
      <c r="W75" s="8"/>
      <c r="X75" s="8"/>
      <c r="Y75" s="8"/>
      <c r="Z75" s="8"/>
      <c r="AA75" s="8"/>
      <c r="AB75" s="9"/>
    </row>
    <row r="76" spans="1:28" ht="13">
      <c r="A76" s="94">
        <v>26</v>
      </c>
      <c r="B76" s="92" t="s">
        <v>72</v>
      </c>
      <c r="C76" s="94"/>
      <c r="D76" s="22" t="s">
        <v>70</v>
      </c>
      <c r="E76" s="24"/>
      <c r="F76" s="24"/>
      <c r="G76" s="24">
        <v>2</v>
      </c>
      <c r="H76" s="24"/>
      <c r="I76" s="24"/>
      <c r="J76" s="24"/>
      <c r="K76" s="24"/>
      <c r="L76" s="24"/>
      <c r="M76" s="32"/>
      <c r="N76" s="25">
        <f t="shared" si="0"/>
        <v>2</v>
      </c>
      <c r="O76" s="24"/>
      <c r="P76" s="24"/>
      <c r="Q76" s="24"/>
      <c r="R76" s="24"/>
      <c r="S76" s="25">
        <f t="shared" si="1"/>
        <v>0</v>
      </c>
      <c r="T76" s="26">
        <f t="shared" si="2"/>
        <v>2</v>
      </c>
      <c r="U76" s="73">
        <f>SUM(T76:T77)</f>
        <v>3</v>
      </c>
    </row>
    <row r="77" spans="1:28" ht="13">
      <c r="A77" s="93"/>
      <c r="B77" s="93"/>
      <c r="C77" s="93"/>
      <c r="D77" s="22" t="s">
        <v>26</v>
      </c>
      <c r="E77" s="24"/>
      <c r="F77" s="24"/>
      <c r="G77" s="24">
        <v>1</v>
      </c>
      <c r="H77" s="24"/>
      <c r="I77" s="24"/>
      <c r="J77" s="24"/>
      <c r="K77" s="24"/>
      <c r="L77" s="24"/>
      <c r="M77" s="32"/>
      <c r="N77" s="25">
        <f t="shared" si="0"/>
        <v>1</v>
      </c>
      <c r="O77" s="24"/>
      <c r="P77" s="24"/>
      <c r="Q77" s="24"/>
      <c r="R77" s="24"/>
      <c r="S77" s="25">
        <f t="shared" si="1"/>
        <v>0</v>
      </c>
      <c r="T77" s="26">
        <f t="shared" si="2"/>
        <v>1</v>
      </c>
      <c r="U77" s="75"/>
      <c r="V77" s="3"/>
      <c r="W77" s="3"/>
      <c r="X77" s="3"/>
      <c r="Y77" s="3"/>
      <c r="Z77" s="3"/>
      <c r="AA77" s="3"/>
      <c r="AB77" s="3"/>
    </row>
    <row r="78" spans="1:28" ht="13">
      <c r="A78" s="103">
        <v>27</v>
      </c>
      <c r="B78" s="102" t="s">
        <v>73</v>
      </c>
      <c r="C78" s="103"/>
      <c r="D78" s="42" t="s">
        <v>74</v>
      </c>
      <c r="E78" s="43"/>
      <c r="F78" s="43"/>
      <c r="G78" s="43"/>
      <c r="H78" s="43">
        <v>2</v>
      </c>
      <c r="I78" s="43"/>
      <c r="J78" s="43">
        <v>2</v>
      </c>
      <c r="K78" s="43">
        <v>2</v>
      </c>
      <c r="L78" s="43">
        <v>2</v>
      </c>
      <c r="M78" s="43">
        <v>2</v>
      </c>
      <c r="N78" s="45">
        <f t="shared" si="0"/>
        <v>10</v>
      </c>
      <c r="O78" s="43">
        <v>2</v>
      </c>
      <c r="P78" s="43">
        <v>2</v>
      </c>
      <c r="Q78" s="43">
        <v>1</v>
      </c>
      <c r="R78" s="43">
        <v>1</v>
      </c>
      <c r="S78" s="45">
        <f t="shared" si="1"/>
        <v>6</v>
      </c>
      <c r="T78" s="45">
        <f t="shared" si="2"/>
        <v>16</v>
      </c>
      <c r="U78" s="79">
        <f>SUM(T78:T79)</f>
        <v>21</v>
      </c>
      <c r="V78" s="10"/>
      <c r="W78" s="10"/>
      <c r="X78" s="10"/>
      <c r="Y78" s="10"/>
      <c r="Z78" s="10"/>
      <c r="AA78" s="10"/>
      <c r="AB78" s="10"/>
    </row>
    <row r="79" spans="1:28" ht="28">
      <c r="A79" s="93"/>
      <c r="B79" s="93"/>
      <c r="C79" s="93"/>
      <c r="D79" s="46" t="s">
        <v>75</v>
      </c>
      <c r="E79" s="43"/>
      <c r="F79" s="43"/>
      <c r="G79" s="43"/>
      <c r="H79" s="43">
        <v>1</v>
      </c>
      <c r="I79" s="43"/>
      <c r="J79" s="43">
        <v>1</v>
      </c>
      <c r="K79" s="43">
        <v>1</v>
      </c>
      <c r="L79" s="43">
        <v>1</v>
      </c>
      <c r="M79" s="43">
        <v>1</v>
      </c>
      <c r="N79" s="45">
        <f t="shared" si="0"/>
        <v>5</v>
      </c>
      <c r="O79" s="43"/>
      <c r="P79" s="43"/>
      <c r="Q79" s="43"/>
      <c r="R79" s="43"/>
      <c r="S79" s="45">
        <f t="shared" si="1"/>
        <v>0</v>
      </c>
      <c r="T79" s="45">
        <f t="shared" si="2"/>
        <v>5</v>
      </c>
      <c r="U79" s="80"/>
      <c r="V79" s="8"/>
      <c r="W79" s="8"/>
      <c r="X79" s="8"/>
      <c r="Y79" s="8"/>
      <c r="Z79" s="8"/>
      <c r="AA79" s="8"/>
      <c r="AB79" s="8"/>
    </row>
    <row r="80" spans="1:28" ht="13">
      <c r="A80" s="94">
        <v>28</v>
      </c>
      <c r="B80" s="92" t="s">
        <v>76</v>
      </c>
      <c r="C80" s="94"/>
      <c r="D80" s="22" t="s">
        <v>74</v>
      </c>
      <c r="E80" s="24">
        <v>2</v>
      </c>
      <c r="F80" s="24">
        <v>2</v>
      </c>
      <c r="G80" s="24">
        <v>2</v>
      </c>
      <c r="H80" s="24"/>
      <c r="I80" s="24">
        <v>2</v>
      </c>
      <c r="J80" s="24"/>
      <c r="K80" s="24"/>
      <c r="L80" s="24"/>
      <c r="M80" s="24"/>
      <c r="N80" s="35">
        <f t="shared" si="0"/>
        <v>8</v>
      </c>
      <c r="O80" s="24"/>
      <c r="P80" s="24"/>
      <c r="Q80" s="24"/>
      <c r="R80" s="24"/>
      <c r="S80" s="35">
        <f t="shared" si="1"/>
        <v>0</v>
      </c>
      <c r="T80" s="35">
        <f t="shared" si="2"/>
        <v>8</v>
      </c>
      <c r="U80" s="81">
        <f>SUM(T80:T81)</f>
        <v>12</v>
      </c>
    </row>
    <row r="81" spans="1:28" ht="28">
      <c r="A81" s="93"/>
      <c r="B81" s="93"/>
      <c r="C81" s="93"/>
      <c r="D81" s="47" t="s">
        <v>75</v>
      </c>
      <c r="E81" s="24">
        <v>1</v>
      </c>
      <c r="F81" s="24">
        <v>1</v>
      </c>
      <c r="G81" s="24">
        <v>1</v>
      </c>
      <c r="H81" s="24"/>
      <c r="I81" s="24">
        <v>1</v>
      </c>
      <c r="J81" s="24"/>
      <c r="K81" s="24"/>
      <c r="L81" s="24"/>
      <c r="M81" s="24"/>
      <c r="N81" s="35">
        <f t="shared" si="0"/>
        <v>4</v>
      </c>
      <c r="O81" s="24"/>
      <c r="P81" s="24"/>
      <c r="Q81" s="24"/>
      <c r="R81" s="24"/>
      <c r="S81" s="35">
        <f t="shared" si="1"/>
        <v>0</v>
      </c>
      <c r="T81" s="35">
        <f t="shared" si="2"/>
        <v>4</v>
      </c>
      <c r="U81" s="82"/>
      <c r="V81" s="3"/>
      <c r="W81" s="3"/>
      <c r="X81" s="3"/>
      <c r="Y81" s="3"/>
      <c r="Z81" s="3"/>
      <c r="AA81" s="3"/>
      <c r="AB81" s="3"/>
    </row>
    <row r="82" spans="1:28" ht="13">
      <c r="A82" s="94">
        <v>29</v>
      </c>
      <c r="B82" s="92" t="s">
        <v>77</v>
      </c>
      <c r="C82" s="94"/>
      <c r="D82" s="22" t="s">
        <v>78</v>
      </c>
      <c r="E82" s="24"/>
      <c r="F82" s="24"/>
      <c r="G82" s="24"/>
      <c r="H82" s="24"/>
      <c r="I82" s="24"/>
      <c r="J82" s="24"/>
      <c r="K82" s="24"/>
      <c r="L82" s="24">
        <v>2</v>
      </c>
      <c r="M82" s="24">
        <v>2</v>
      </c>
      <c r="N82" s="25">
        <f t="shared" si="0"/>
        <v>4</v>
      </c>
      <c r="O82" s="24">
        <v>2</v>
      </c>
      <c r="P82" s="24">
        <v>2</v>
      </c>
      <c r="Q82" s="24">
        <v>2</v>
      </c>
      <c r="R82" s="24">
        <v>2</v>
      </c>
      <c r="S82" s="25">
        <f t="shared" si="1"/>
        <v>8</v>
      </c>
      <c r="T82" s="26">
        <f t="shared" si="2"/>
        <v>12</v>
      </c>
      <c r="U82" s="73">
        <f>SUM(T82:T84)</f>
        <v>20</v>
      </c>
    </row>
    <row r="83" spans="1:28" ht="13">
      <c r="A83" s="93"/>
      <c r="B83" s="95"/>
      <c r="C83" s="95"/>
      <c r="D83" s="22" t="s">
        <v>24</v>
      </c>
      <c r="E83" s="24"/>
      <c r="F83" s="24"/>
      <c r="G83" s="24"/>
      <c r="H83" s="24"/>
      <c r="I83" s="24"/>
      <c r="J83" s="24"/>
      <c r="K83" s="24"/>
      <c r="L83" s="24"/>
      <c r="M83" s="24"/>
      <c r="N83" s="25">
        <f t="shared" si="0"/>
        <v>0</v>
      </c>
      <c r="O83" s="24">
        <v>1</v>
      </c>
      <c r="P83" s="24">
        <v>1</v>
      </c>
      <c r="Q83" s="24">
        <v>2</v>
      </c>
      <c r="R83" s="24">
        <v>2</v>
      </c>
      <c r="S83" s="25">
        <f t="shared" si="1"/>
        <v>6</v>
      </c>
      <c r="T83" s="26">
        <f t="shared" si="2"/>
        <v>6</v>
      </c>
      <c r="U83" s="74"/>
    </row>
    <row r="84" spans="1:28" ht="13">
      <c r="A84" s="93"/>
      <c r="B84" s="93"/>
      <c r="C84" s="93"/>
      <c r="D84" s="22" t="s">
        <v>26</v>
      </c>
      <c r="E84" s="24"/>
      <c r="F84" s="24"/>
      <c r="G84" s="24"/>
      <c r="H84" s="24"/>
      <c r="I84" s="24"/>
      <c r="J84" s="24"/>
      <c r="K84" s="24"/>
      <c r="L84" s="24">
        <v>1</v>
      </c>
      <c r="M84" s="24">
        <v>1</v>
      </c>
      <c r="N84" s="25">
        <f t="shared" si="0"/>
        <v>2</v>
      </c>
      <c r="O84" s="24"/>
      <c r="P84" s="24"/>
      <c r="Q84" s="24" t="s">
        <v>123</v>
      </c>
      <c r="R84" s="24"/>
      <c r="S84" s="25">
        <f t="shared" si="1"/>
        <v>0</v>
      </c>
      <c r="T84" s="26">
        <f t="shared" si="2"/>
        <v>2</v>
      </c>
      <c r="U84" s="75"/>
      <c r="V84" s="3"/>
      <c r="W84" s="3"/>
      <c r="X84" s="3"/>
      <c r="Y84" s="3"/>
      <c r="Z84" s="3"/>
      <c r="AA84" s="3"/>
      <c r="AB84" s="3"/>
    </row>
    <row r="85" spans="1:28" ht="13">
      <c r="A85" s="94">
        <v>30</v>
      </c>
      <c r="B85" s="92" t="s">
        <v>79</v>
      </c>
      <c r="C85" s="94"/>
      <c r="D85" s="22" t="s">
        <v>78</v>
      </c>
      <c r="E85" s="24">
        <v>2</v>
      </c>
      <c r="F85" s="24">
        <v>2</v>
      </c>
      <c r="G85" s="24">
        <v>2</v>
      </c>
      <c r="H85" s="24">
        <v>2</v>
      </c>
      <c r="I85" s="24">
        <v>2</v>
      </c>
      <c r="J85" s="24">
        <v>2</v>
      </c>
      <c r="K85" s="24">
        <v>2</v>
      </c>
      <c r="L85" s="24"/>
      <c r="M85" s="24"/>
      <c r="N85" s="25">
        <f t="shared" si="0"/>
        <v>14</v>
      </c>
      <c r="O85" s="24"/>
      <c r="P85" s="24"/>
      <c r="Q85" s="24"/>
      <c r="R85" s="24"/>
      <c r="S85" s="25">
        <f t="shared" si="1"/>
        <v>0</v>
      </c>
      <c r="T85" s="26">
        <f t="shared" si="2"/>
        <v>14</v>
      </c>
      <c r="U85" s="73">
        <f>SUM(T85:T86)</f>
        <v>21</v>
      </c>
    </row>
    <row r="86" spans="1:28" ht="13">
      <c r="A86" s="93"/>
      <c r="B86" s="93"/>
      <c r="C86" s="93"/>
      <c r="D86" s="48" t="s">
        <v>26</v>
      </c>
      <c r="E86" s="32">
        <v>1</v>
      </c>
      <c r="F86" s="32">
        <v>1</v>
      </c>
      <c r="G86" s="32">
        <v>1</v>
      </c>
      <c r="H86" s="32">
        <v>1</v>
      </c>
      <c r="I86" s="32">
        <v>1</v>
      </c>
      <c r="J86" s="32">
        <v>1</v>
      </c>
      <c r="K86" s="32">
        <v>1</v>
      </c>
      <c r="L86" s="32"/>
      <c r="M86" s="32"/>
      <c r="N86" s="25">
        <f t="shared" si="0"/>
        <v>7</v>
      </c>
      <c r="O86" s="32"/>
      <c r="P86" s="32"/>
      <c r="Q86" s="32"/>
      <c r="R86" s="32"/>
      <c r="S86" s="25">
        <f t="shared" si="1"/>
        <v>0</v>
      </c>
      <c r="T86" s="26">
        <f t="shared" si="2"/>
        <v>7</v>
      </c>
      <c r="U86" s="75"/>
      <c r="V86" s="3"/>
      <c r="W86" s="3"/>
      <c r="X86" s="3"/>
      <c r="Y86" s="3"/>
      <c r="Z86" s="3"/>
      <c r="AA86" s="3"/>
      <c r="AB86" s="3"/>
    </row>
    <row r="87" spans="1:28" ht="13">
      <c r="A87" s="49">
        <v>31</v>
      </c>
      <c r="B87" s="50" t="s">
        <v>80</v>
      </c>
      <c r="C87" s="50"/>
      <c r="D87" s="50" t="s">
        <v>81</v>
      </c>
      <c r="E87" s="50">
        <v>1</v>
      </c>
      <c r="F87" s="50">
        <v>1</v>
      </c>
      <c r="G87" s="50">
        <v>1</v>
      </c>
      <c r="H87" s="50">
        <v>1</v>
      </c>
      <c r="I87" s="50">
        <v>1</v>
      </c>
      <c r="J87" s="50">
        <v>1</v>
      </c>
      <c r="K87" s="50">
        <v>1</v>
      </c>
      <c r="L87" s="50">
        <v>1</v>
      </c>
      <c r="M87" s="50">
        <v>1</v>
      </c>
      <c r="N87" s="33">
        <f t="shared" si="0"/>
        <v>9</v>
      </c>
      <c r="O87" s="50"/>
      <c r="P87" s="50"/>
      <c r="Q87" s="50"/>
      <c r="R87" s="50"/>
      <c r="S87" s="33">
        <f t="shared" si="1"/>
        <v>0</v>
      </c>
      <c r="T87" s="33">
        <f t="shared" si="2"/>
        <v>9</v>
      </c>
      <c r="U87" s="34">
        <f t="shared" ref="U87:U89" si="4">T87</f>
        <v>9</v>
      </c>
      <c r="V87" s="5"/>
      <c r="W87" s="5"/>
      <c r="X87" s="5"/>
      <c r="Y87" s="5"/>
      <c r="Z87" s="5"/>
      <c r="AA87" s="5"/>
      <c r="AB87" s="5"/>
    </row>
    <row r="88" spans="1:28" ht="13">
      <c r="A88" s="49">
        <v>32</v>
      </c>
      <c r="B88" s="50" t="s">
        <v>82</v>
      </c>
      <c r="C88" s="50"/>
      <c r="D88" s="50" t="s">
        <v>81</v>
      </c>
      <c r="E88" s="50">
        <v>1</v>
      </c>
      <c r="F88" s="50">
        <v>1</v>
      </c>
      <c r="G88" s="50">
        <v>1</v>
      </c>
      <c r="H88" s="50">
        <v>1</v>
      </c>
      <c r="I88" s="50">
        <v>1</v>
      </c>
      <c r="J88" s="50">
        <v>1</v>
      </c>
      <c r="K88" s="50">
        <v>1</v>
      </c>
      <c r="L88" s="50">
        <v>1</v>
      </c>
      <c r="M88" s="50">
        <v>1</v>
      </c>
      <c r="N88" s="33">
        <f t="shared" si="0"/>
        <v>9</v>
      </c>
      <c r="O88" s="50"/>
      <c r="P88" s="50"/>
      <c r="Q88" s="50"/>
      <c r="R88" s="50"/>
      <c r="S88" s="33">
        <f t="shared" si="1"/>
        <v>0</v>
      </c>
      <c r="T88" s="33">
        <f t="shared" si="2"/>
        <v>9</v>
      </c>
      <c r="U88" s="34">
        <f t="shared" si="4"/>
        <v>9</v>
      </c>
      <c r="V88" s="5"/>
      <c r="W88" s="5"/>
      <c r="X88" s="5"/>
      <c r="Y88" s="5"/>
      <c r="Z88" s="5"/>
      <c r="AA88" s="5"/>
      <c r="AB88" s="5"/>
    </row>
    <row r="89" spans="1:28" ht="13">
      <c r="A89" s="51">
        <v>33</v>
      </c>
      <c r="B89" s="48" t="s">
        <v>83</v>
      </c>
      <c r="C89" s="32"/>
      <c r="D89" s="32" t="s">
        <v>84</v>
      </c>
      <c r="E89" s="32"/>
      <c r="F89" s="32"/>
      <c r="G89" s="32"/>
      <c r="H89" s="32"/>
      <c r="I89" s="32"/>
      <c r="J89" s="32"/>
      <c r="K89" s="32"/>
      <c r="L89" s="32"/>
      <c r="M89" s="32"/>
      <c r="N89" s="52"/>
      <c r="O89" s="32">
        <v>1</v>
      </c>
      <c r="P89" s="32">
        <v>1</v>
      </c>
      <c r="Q89" s="32">
        <v>1</v>
      </c>
      <c r="R89" s="32">
        <v>1</v>
      </c>
      <c r="S89" s="33">
        <f t="shared" si="1"/>
        <v>4</v>
      </c>
      <c r="T89" s="33">
        <f t="shared" si="2"/>
        <v>4</v>
      </c>
      <c r="U89" s="34">
        <f t="shared" si="4"/>
        <v>4</v>
      </c>
    </row>
    <row r="90" spans="1:28" ht="13">
      <c r="A90" s="90">
        <v>34</v>
      </c>
      <c r="B90" s="91" t="s">
        <v>124</v>
      </c>
      <c r="C90" s="90"/>
      <c r="D90" s="22" t="s">
        <v>39</v>
      </c>
      <c r="E90" s="23"/>
      <c r="F90" s="23"/>
      <c r="G90" s="23"/>
      <c r="H90" s="24">
        <v>2</v>
      </c>
      <c r="I90" s="24">
        <v>2</v>
      </c>
      <c r="J90" s="24">
        <v>2</v>
      </c>
      <c r="K90" s="24">
        <v>2</v>
      </c>
      <c r="L90" s="24"/>
      <c r="M90" s="24"/>
      <c r="N90" s="25">
        <f>SUM(H90:M90)</f>
        <v>8</v>
      </c>
      <c r="O90" s="37">
        <v>2</v>
      </c>
      <c r="P90" s="37">
        <v>2</v>
      </c>
      <c r="Q90" s="37"/>
      <c r="R90" s="37"/>
      <c r="S90" s="25">
        <f t="shared" ref="S90:S98" si="5">SUM(O90:R90)</f>
        <v>4</v>
      </c>
      <c r="T90" s="26">
        <f t="shared" ref="T90:T98" si="6">N90+S90</f>
        <v>12</v>
      </c>
      <c r="U90" s="73">
        <f>SUM(T90:T93)</f>
        <v>18</v>
      </c>
    </row>
    <row r="91" spans="1:28" ht="13">
      <c r="A91" s="90"/>
      <c r="B91" s="91"/>
      <c r="C91" s="90"/>
      <c r="D91" s="22" t="s">
        <v>40</v>
      </c>
      <c r="E91" s="23"/>
      <c r="F91" s="23"/>
      <c r="G91" s="23"/>
      <c r="H91" s="24">
        <v>1</v>
      </c>
      <c r="I91" s="24">
        <v>1</v>
      </c>
      <c r="J91" s="24">
        <v>1</v>
      </c>
      <c r="K91" s="24">
        <v>1</v>
      </c>
      <c r="L91" s="24"/>
      <c r="M91" s="24"/>
      <c r="N91" s="25">
        <f>SUM(H91:M91)</f>
        <v>4</v>
      </c>
      <c r="O91" s="37"/>
      <c r="P91" s="37"/>
      <c r="Q91" s="37"/>
      <c r="R91" s="37"/>
      <c r="S91" s="25">
        <f t="shared" si="5"/>
        <v>0</v>
      </c>
      <c r="T91" s="26">
        <f t="shared" si="6"/>
        <v>4</v>
      </c>
      <c r="U91" s="74"/>
    </row>
    <row r="92" spans="1:28" ht="13">
      <c r="A92" s="90"/>
      <c r="B92" s="91"/>
      <c r="C92" s="90"/>
      <c r="D92" s="53" t="s">
        <v>44</v>
      </c>
      <c r="E92" s="38"/>
      <c r="F92" s="38"/>
      <c r="G92" s="38"/>
      <c r="H92" s="38"/>
      <c r="I92" s="38"/>
      <c r="J92" s="38"/>
      <c r="K92" s="38"/>
      <c r="L92" s="38"/>
      <c r="M92" s="38"/>
      <c r="N92" s="25">
        <f t="shared" ref="N92:N98" si="7">SUM(E92:M92)</f>
        <v>0</v>
      </c>
      <c r="O92" s="38">
        <v>1</v>
      </c>
      <c r="P92" s="38">
        <v>1</v>
      </c>
      <c r="Q92" s="38"/>
      <c r="R92" s="38"/>
      <c r="S92" s="25">
        <f t="shared" si="5"/>
        <v>2</v>
      </c>
      <c r="T92" s="26">
        <f t="shared" si="6"/>
        <v>2</v>
      </c>
      <c r="U92" s="74"/>
    </row>
    <row r="93" spans="1:28" ht="13">
      <c r="A93" s="90"/>
      <c r="B93" s="91"/>
      <c r="C93" s="90"/>
      <c r="D93" s="36" t="s">
        <v>45</v>
      </c>
      <c r="E93" s="37"/>
      <c r="F93" s="37"/>
      <c r="G93" s="37"/>
      <c r="H93" s="37"/>
      <c r="I93" s="37"/>
      <c r="J93" s="37"/>
      <c r="K93" s="37"/>
      <c r="L93" s="37"/>
      <c r="M93" s="37"/>
      <c r="N93" s="25">
        <f t="shared" si="7"/>
        <v>0</v>
      </c>
      <c r="O93" s="37"/>
      <c r="P93" s="37"/>
      <c r="Q93" s="37"/>
      <c r="R93" s="37"/>
      <c r="S93" s="25">
        <f t="shared" si="5"/>
        <v>0</v>
      </c>
      <c r="T93" s="26">
        <f t="shared" si="6"/>
        <v>0</v>
      </c>
      <c r="U93" s="75"/>
    </row>
    <row r="94" spans="1:28" ht="13">
      <c r="A94" s="90">
        <v>35</v>
      </c>
      <c r="B94" s="91" t="s">
        <v>125</v>
      </c>
      <c r="C94" s="90"/>
      <c r="D94" s="36" t="s">
        <v>67</v>
      </c>
      <c r="E94" s="37"/>
      <c r="F94" s="37"/>
      <c r="G94" s="37"/>
      <c r="H94" s="37">
        <v>1</v>
      </c>
      <c r="I94" s="37">
        <v>1</v>
      </c>
      <c r="J94" s="37">
        <v>1</v>
      </c>
      <c r="K94" s="37">
        <v>1</v>
      </c>
      <c r="L94" s="37"/>
      <c r="M94" s="37"/>
      <c r="N94" s="25">
        <f t="shared" si="7"/>
        <v>4</v>
      </c>
      <c r="O94" s="24">
        <v>1</v>
      </c>
      <c r="P94" s="24">
        <v>1</v>
      </c>
      <c r="Q94" s="24"/>
      <c r="R94" s="24"/>
      <c r="S94" s="25">
        <f t="shared" si="5"/>
        <v>2</v>
      </c>
      <c r="T94" s="26">
        <f t="shared" si="6"/>
        <v>6</v>
      </c>
      <c r="U94" s="73">
        <f>SUM(T94:T95)</f>
        <v>10</v>
      </c>
    </row>
    <row r="95" spans="1:28" s="65" customFormat="1" ht="13">
      <c r="A95" s="90"/>
      <c r="B95" s="91"/>
      <c r="C95" s="90"/>
      <c r="D95" s="69" t="s">
        <v>68</v>
      </c>
      <c r="E95" s="29"/>
      <c r="F95" s="29"/>
      <c r="G95" s="29"/>
      <c r="H95" s="29">
        <v>1</v>
      </c>
      <c r="I95" s="29">
        <v>1</v>
      </c>
      <c r="J95" s="29">
        <v>1</v>
      </c>
      <c r="K95" s="29">
        <v>1</v>
      </c>
      <c r="L95" s="70"/>
      <c r="M95" s="70"/>
      <c r="N95" s="66">
        <f t="shared" si="7"/>
        <v>4</v>
      </c>
      <c r="O95" s="70"/>
      <c r="P95" s="70"/>
      <c r="Q95" s="70"/>
      <c r="R95" s="70"/>
      <c r="S95" s="66">
        <f t="shared" si="5"/>
        <v>0</v>
      </c>
      <c r="T95" s="67">
        <f t="shared" si="6"/>
        <v>4</v>
      </c>
      <c r="U95" s="75"/>
    </row>
    <row r="96" spans="1:28" ht="13">
      <c r="A96" s="90">
        <v>36</v>
      </c>
      <c r="B96" s="91" t="s">
        <v>126</v>
      </c>
      <c r="C96" s="90"/>
      <c r="D96" s="53" t="s">
        <v>22</v>
      </c>
      <c r="E96" s="38"/>
      <c r="F96" s="23"/>
      <c r="G96" s="38">
        <v>3</v>
      </c>
      <c r="H96" s="38"/>
      <c r="I96" s="38"/>
      <c r="J96" s="38"/>
      <c r="K96" s="38"/>
      <c r="L96" s="38"/>
      <c r="M96" s="38"/>
      <c r="N96" s="54">
        <f t="shared" si="7"/>
        <v>3</v>
      </c>
      <c r="O96" s="38"/>
      <c r="P96" s="38"/>
      <c r="Q96" s="38"/>
      <c r="R96" s="38"/>
      <c r="S96" s="54">
        <f t="shared" si="5"/>
        <v>0</v>
      </c>
      <c r="T96" s="54">
        <f t="shared" si="6"/>
        <v>3</v>
      </c>
      <c r="U96" s="76">
        <f>SUM(T96:T98)</f>
        <v>6</v>
      </c>
    </row>
    <row r="97" spans="1:21" ht="13">
      <c r="A97" s="90"/>
      <c r="B97" s="91"/>
      <c r="C97" s="90"/>
      <c r="D97" s="53" t="s">
        <v>23</v>
      </c>
      <c r="E97" s="38"/>
      <c r="F97" s="23"/>
      <c r="G97" s="38">
        <v>1</v>
      </c>
      <c r="H97" s="38"/>
      <c r="I97" s="38"/>
      <c r="J97" s="38"/>
      <c r="K97" s="38"/>
      <c r="L97" s="38"/>
      <c r="M97" s="38"/>
      <c r="N97" s="54">
        <f t="shared" si="7"/>
        <v>1</v>
      </c>
      <c r="O97" s="38"/>
      <c r="P97" s="38"/>
      <c r="Q97" s="38"/>
      <c r="R97" s="38"/>
      <c r="S97" s="54">
        <f t="shared" si="5"/>
        <v>0</v>
      </c>
      <c r="T97" s="54">
        <f t="shared" si="6"/>
        <v>1</v>
      </c>
      <c r="U97" s="77"/>
    </row>
    <row r="98" spans="1:21" ht="13">
      <c r="A98" s="90"/>
      <c r="B98" s="91"/>
      <c r="C98" s="90"/>
      <c r="D98" s="53" t="s">
        <v>26</v>
      </c>
      <c r="E98" s="38"/>
      <c r="F98" s="23"/>
      <c r="G98" s="38">
        <v>2</v>
      </c>
      <c r="H98" s="38"/>
      <c r="I98" s="38"/>
      <c r="J98" s="38"/>
      <c r="K98" s="38"/>
      <c r="L98" s="38"/>
      <c r="M98" s="38"/>
      <c r="N98" s="54">
        <f t="shared" si="7"/>
        <v>2</v>
      </c>
      <c r="O98" s="38"/>
      <c r="P98" s="38"/>
      <c r="Q98" s="38"/>
      <c r="R98" s="38"/>
      <c r="S98" s="54">
        <f t="shared" si="5"/>
        <v>0</v>
      </c>
      <c r="T98" s="54">
        <f t="shared" si="6"/>
        <v>2</v>
      </c>
      <c r="U98" s="78"/>
    </row>
    <row r="99" spans="1:21" ht="13">
      <c r="A99" s="21">
        <v>37</v>
      </c>
      <c r="B99" s="56" t="s">
        <v>127</v>
      </c>
      <c r="C99" s="23"/>
      <c r="D99" s="53" t="s">
        <v>128</v>
      </c>
      <c r="E99" s="38"/>
      <c r="F99" s="23"/>
      <c r="G99" s="38" t="s">
        <v>123</v>
      </c>
      <c r="H99" s="38"/>
      <c r="I99" s="38"/>
      <c r="J99" s="38"/>
      <c r="K99" s="38"/>
      <c r="L99" s="38"/>
      <c r="M99" s="38"/>
      <c r="N99" s="54">
        <f t="shared" ref="N99:N100" si="8">SUM(E99:M99)</f>
        <v>0</v>
      </c>
      <c r="O99" s="38"/>
      <c r="P99" s="38"/>
      <c r="Q99" s="38">
        <v>1</v>
      </c>
      <c r="R99" s="38">
        <v>2</v>
      </c>
      <c r="S99" s="54">
        <f t="shared" ref="S99:S100" si="9">SUM(O99:R99)</f>
        <v>3</v>
      </c>
      <c r="T99" s="54">
        <f t="shared" ref="T99:T100" si="10">N99+S99</f>
        <v>3</v>
      </c>
      <c r="U99" s="55">
        <v>3</v>
      </c>
    </row>
    <row r="100" spans="1:21" ht="13">
      <c r="A100" s="21">
        <v>38</v>
      </c>
      <c r="B100" s="56" t="s">
        <v>129</v>
      </c>
      <c r="C100" s="23"/>
      <c r="D100" s="53" t="s">
        <v>130</v>
      </c>
      <c r="E100" s="38"/>
      <c r="F100" s="23"/>
      <c r="G100" s="38" t="s">
        <v>123</v>
      </c>
      <c r="H100" s="38"/>
      <c r="I100" s="38"/>
      <c r="J100" s="38"/>
      <c r="K100" s="38"/>
      <c r="L100" s="38"/>
      <c r="M100" s="38"/>
      <c r="N100" s="54">
        <f t="shared" si="8"/>
        <v>0</v>
      </c>
      <c r="O100" s="38">
        <v>1</v>
      </c>
      <c r="P100" s="38">
        <v>1</v>
      </c>
      <c r="Q100" s="38">
        <v>1</v>
      </c>
      <c r="R100" s="38">
        <v>1</v>
      </c>
      <c r="S100" s="54">
        <f t="shared" si="9"/>
        <v>4</v>
      </c>
      <c r="T100" s="54">
        <f t="shared" si="10"/>
        <v>4</v>
      </c>
      <c r="U100" s="55">
        <v>4</v>
      </c>
    </row>
    <row r="101" spans="1:21" ht="13">
      <c r="N101" s="11"/>
      <c r="S101" s="11"/>
      <c r="T101" s="12"/>
      <c r="U101" s="1"/>
    </row>
    <row r="102" spans="1:21" ht="13">
      <c r="N102" s="11"/>
      <c r="S102" s="11"/>
      <c r="T102" s="12"/>
      <c r="U102" s="1"/>
    </row>
    <row r="103" spans="1:21" ht="13">
      <c r="N103" s="11"/>
      <c r="S103" s="11"/>
      <c r="T103" s="12"/>
      <c r="U103" s="1"/>
    </row>
    <row r="104" spans="1:21" ht="13">
      <c r="N104" s="11"/>
      <c r="S104" s="11"/>
      <c r="T104" s="12"/>
      <c r="U104" s="1"/>
    </row>
    <row r="105" spans="1:21" ht="13">
      <c r="N105" s="11"/>
      <c r="S105" s="11"/>
      <c r="T105" s="12"/>
      <c r="U105" s="1"/>
    </row>
    <row r="106" spans="1:21" ht="13">
      <c r="N106" s="11"/>
      <c r="S106" s="11"/>
      <c r="T106" s="12"/>
      <c r="U106" s="1"/>
    </row>
    <row r="107" spans="1:21" ht="13">
      <c r="N107" s="11"/>
      <c r="S107" s="11"/>
      <c r="T107" s="12"/>
      <c r="U107" s="1"/>
    </row>
    <row r="108" spans="1:21" ht="13">
      <c r="N108" s="11"/>
      <c r="S108" s="11"/>
      <c r="T108" s="12"/>
      <c r="U108" s="1"/>
    </row>
    <row r="109" spans="1:21" ht="13">
      <c r="N109" s="11"/>
      <c r="S109" s="11"/>
      <c r="T109" s="12"/>
      <c r="U109" s="1"/>
    </row>
    <row r="110" spans="1:21" ht="13">
      <c r="N110" s="11"/>
      <c r="S110" s="11"/>
      <c r="T110" s="12"/>
      <c r="U110" s="1"/>
    </row>
    <row r="111" spans="1:21" ht="13">
      <c r="N111" s="11"/>
      <c r="S111" s="11"/>
      <c r="T111" s="12"/>
      <c r="U111" s="1"/>
    </row>
    <row r="112" spans="1:21" ht="13">
      <c r="N112" s="11"/>
      <c r="S112" s="11"/>
      <c r="T112" s="12"/>
      <c r="U112" s="1"/>
    </row>
    <row r="113" spans="14:21" ht="13">
      <c r="N113" s="11"/>
      <c r="S113" s="11"/>
      <c r="T113" s="12"/>
      <c r="U113" s="1"/>
    </row>
    <row r="114" spans="14:21" ht="13">
      <c r="N114" s="11"/>
      <c r="S114" s="11"/>
      <c r="T114" s="12"/>
      <c r="U114" s="1"/>
    </row>
    <row r="115" spans="14:21" ht="13">
      <c r="N115" s="11"/>
      <c r="S115" s="11"/>
      <c r="T115" s="12"/>
      <c r="U115" s="1"/>
    </row>
    <row r="116" spans="14:21" ht="13">
      <c r="N116" s="11"/>
      <c r="S116" s="11"/>
      <c r="T116" s="12"/>
      <c r="U116" s="1"/>
    </row>
    <row r="117" spans="14:21" ht="13">
      <c r="N117" s="11"/>
      <c r="S117" s="11"/>
      <c r="T117" s="12"/>
      <c r="U117" s="1"/>
    </row>
    <row r="118" spans="14:21" ht="13">
      <c r="N118" s="11"/>
      <c r="S118" s="11"/>
      <c r="T118" s="12"/>
      <c r="U118" s="1"/>
    </row>
    <row r="119" spans="14:21" ht="13">
      <c r="N119" s="11"/>
      <c r="S119" s="11"/>
      <c r="T119" s="12"/>
      <c r="U119" s="1"/>
    </row>
    <row r="120" spans="14:21" ht="13">
      <c r="N120" s="11"/>
      <c r="S120" s="11"/>
      <c r="T120" s="12"/>
      <c r="U120" s="1"/>
    </row>
    <row r="121" spans="14:21" ht="13">
      <c r="N121" s="11"/>
      <c r="S121" s="11"/>
      <c r="T121" s="12"/>
      <c r="U121" s="1"/>
    </row>
    <row r="122" spans="14:21" ht="13">
      <c r="N122" s="11"/>
      <c r="S122" s="11"/>
      <c r="T122" s="12"/>
      <c r="U122" s="1"/>
    </row>
    <row r="123" spans="14:21" ht="13">
      <c r="N123" s="11"/>
      <c r="S123" s="11"/>
      <c r="T123" s="12"/>
      <c r="U123" s="1"/>
    </row>
    <row r="124" spans="14:21" ht="13">
      <c r="N124" s="11"/>
      <c r="S124" s="11"/>
      <c r="T124" s="12"/>
      <c r="U124" s="1"/>
    </row>
    <row r="125" spans="14:21" ht="13">
      <c r="N125" s="11"/>
      <c r="S125" s="11"/>
      <c r="T125" s="12"/>
      <c r="U125" s="1"/>
    </row>
    <row r="126" spans="14:21" ht="13">
      <c r="N126" s="11"/>
      <c r="S126" s="11"/>
      <c r="T126" s="12"/>
      <c r="U126" s="1"/>
    </row>
    <row r="127" spans="14:21" ht="13">
      <c r="N127" s="11"/>
      <c r="S127" s="11"/>
      <c r="T127" s="12"/>
      <c r="U127" s="1"/>
    </row>
    <row r="128" spans="14:21" ht="13">
      <c r="N128" s="11"/>
      <c r="S128" s="11"/>
      <c r="T128" s="12"/>
      <c r="U128" s="1"/>
    </row>
    <row r="129" spans="14:21" ht="13">
      <c r="N129" s="11"/>
      <c r="S129" s="11"/>
      <c r="T129" s="12"/>
      <c r="U129" s="1"/>
    </row>
    <row r="130" spans="14:21" ht="13">
      <c r="N130" s="11"/>
      <c r="S130" s="11"/>
      <c r="T130" s="12"/>
      <c r="U130" s="1"/>
    </row>
    <row r="131" spans="14:21" ht="13">
      <c r="N131" s="11"/>
      <c r="S131" s="11"/>
      <c r="T131" s="12"/>
      <c r="U131" s="1"/>
    </row>
    <row r="132" spans="14:21" ht="13">
      <c r="N132" s="11"/>
      <c r="S132" s="11"/>
      <c r="T132" s="12"/>
      <c r="U132" s="1"/>
    </row>
    <row r="133" spans="14:21" ht="13">
      <c r="N133" s="11"/>
      <c r="S133" s="11"/>
      <c r="T133" s="12"/>
      <c r="U133" s="1"/>
    </row>
    <row r="134" spans="14:21" ht="13">
      <c r="N134" s="11"/>
      <c r="S134" s="11"/>
      <c r="T134" s="12"/>
      <c r="U134" s="1"/>
    </row>
    <row r="135" spans="14:21" ht="13">
      <c r="N135" s="11"/>
      <c r="S135" s="11"/>
      <c r="T135" s="12"/>
      <c r="U135" s="1"/>
    </row>
    <row r="136" spans="14:21" ht="13">
      <c r="N136" s="11"/>
      <c r="S136" s="11"/>
      <c r="T136" s="12"/>
      <c r="U136" s="1"/>
    </row>
    <row r="137" spans="14:21" ht="13">
      <c r="N137" s="11"/>
      <c r="S137" s="11"/>
      <c r="T137" s="12"/>
      <c r="U137" s="1"/>
    </row>
    <row r="138" spans="14:21" ht="13">
      <c r="N138" s="11"/>
      <c r="S138" s="11"/>
      <c r="T138" s="12"/>
      <c r="U138" s="1"/>
    </row>
    <row r="139" spans="14:21" ht="13">
      <c r="N139" s="11"/>
      <c r="S139" s="11"/>
      <c r="T139" s="12"/>
      <c r="U139" s="1"/>
    </row>
    <row r="140" spans="14:21" ht="13">
      <c r="N140" s="11"/>
      <c r="S140" s="11"/>
      <c r="T140" s="12"/>
      <c r="U140" s="1"/>
    </row>
    <row r="141" spans="14:21" ht="13">
      <c r="N141" s="11"/>
      <c r="S141" s="11"/>
      <c r="T141" s="12"/>
      <c r="U141" s="1"/>
    </row>
    <row r="142" spans="14:21" ht="13">
      <c r="N142" s="11"/>
      <c r="S142" s="11"/>
      <c r="T142" s="12"/>
      <c r="U142" s="1"/>
    </row>
    <row r="143" spans="14:21" ht="13">
      <c r="N143" s="11"/>
      <c r="S143" s="11"/>
      <c r="T143" s="12"/>
      <c r="U143" s="1"/>
    </row>
    <row r="144" spans="14:21" ht="13">
      <c r="N144" s="11"/>
      <c r="S144" s="11"/>
      <c r="T144" s="12"/>
      <c r="U144" s="1"/>
    </row>
    <row r="145" spans="14:21" ht="13">
      <c r="N145" s="11"/>
      <c r="S145" s="11"/>
      <c r="T145" s="12"/>
      <c r="U145" s="1"/>
    </row>
    <row r="146" spans="14:21" ht="13">
      <c r="N146" s="11"/>
      <c r="S146" s="11"/>
      <c r="T146" s="12"/>
      <c r="U146" s="1"/>
    </row>
    <row r="147" spans="14:21" ht="13">
      <c r="N147" s="11"/>
      <c r="S147" s="11"/>
      <c r="T147" s="12"/>
      <c r="U147" s="1"/>
    </row>
    <row r="148" spans="14:21" ht="13">
      <c r="N148" s="11"/>
      <c r="S148" s="11"/>
      <c r="T148" s="12"/>
      <c r="U148" s="1"/>
    </row>
    <row r="149" spans="14:21" ht="13">
      <c r="N149" s="11"/>
      <c r="S149" s="11"/>
      <c r="T149" s="12"/>
      <c r="U149" s="1"/>
    </row>
    <row r="150" spans="14:21" ht="13">
      <c r="N150" s="11"/>
      <c r="S150" s="11"/>
      <c r="T150" s="12"/>
      <c r="U150" s="1"/>
    </row>
    <row r="151" spans="14:21" ht="13">
      <c r="N151" s="11"/>
      <c r="S151" s="11"/>
      <c r="T151" s="12"/>
      <c r="U151" s="1"/>
    </row>
    <row r="152" spans="14:21" ht="13">
      <c r="N152" s="11"/>
      <c r="S152" s="11"/>
      <c r="T152" s="12"/>
      <c r="U152" s="1"/>
    </row>
    <row r="153" spans="14:21" ht="13">
      <c r="N153" s="11"/>
      <c r="S153" s="11"/>
      <c r="T153" s="12"/>
      <c r="U153" s="1"/>
    </row>
    <row r="154" spans="14:21" ht="13">
      <c r="N154" s="11"/>
      <c r="S154" s="11"/>
      <c r="T154" s="12"/>
      <c r="U154" s="1"/>
    </row>
    <row r="155" spans="14:21" ht="13">
      <c r="N155" s="11"/>
      <c r="S155" s="11"/>
      <c r="T155" s="12"/>
      <c r="U155" s="1"/>
    </row>
    <row r="156" spans="14:21" ht="13">
      <c r="N156" s="11"/>
      <c r="S156" s="11"/>
      <c r="T156" s="12"/>
      <c r="U156" s="1"/>
    </row>
    <row r="157" spans="14:21" ht="13">
      <c r="N157" s="11"/>
      <c r="S157" s="11"/>
      <c r="T157" s="12"/>
      <c r="U157" s="1"/>
    </row>
    <row r="158" spans="14:21" ht="13">
      <c r="N158" s="11"/>
      <c r="S158" s="11"/>
      <c r="T158" s="12"/>
      <c r="U158" s="1"/>
    </row>
    <row r="159" spans="14:21" ht="13">
      <c r="N159" s="11"/>
      <c r="S159" s="11"/>
      <c r="T159" s="12"/>
      <c r="U159" s="1"/>
    </row>
    <row r="160" spans="14:21" ht="13">
      <c r="N160" s="11"/>
      <c r="S160" s="11"/>
      <c r="T160" s="12"/>
      <c r="U160" s="1"/>
    </row>
    <row r="161" spans="14:21" ht="13">
      <c r="N161" s="11"/>
      <c r="S161" s="11"/>
      <c r="T161" s="12"/>
      <c r="U161" s="1"/>
    </row>
    <row r="162" spans="14:21" ht="13">
      <c r="N162" s="11"/>
      <c r="S162" s="11"/>
      <c r="T162" s="12"/>
      <c r="U162" s="1"/>
    </row>
    <row r="163" spans="14:21" ht="13">
      <c r="N163" s="11"/>
      <c r="S163" s="11"/>
      <c r="T163" s="12"/>
      <c r="U163" s="1"/>
    </row>
    <row r="164" spans="14:21" ht="13">
      <c r="N164" s="11"/>
      <c r="S164" s="11"/>
      <c r="T164" s="12"/>
      <c r="U164" s="1"/>
    </row>
    <row r="165" spans="14:21" ht="13">
      <c r="N165" s="11"/>
      <c r="S165" s="11"/>
      <c r="T165" s="12"/>
      <c r="U165" s="1"/>
    </row>
    <row r="166" spans="14:21" ht="13">
      <c r="N166" s="11"/>
      <c r="S166" s="11"/>
      <c r="T166" s="12"/>
      <c r="U166" s="1"/>
    </row>
    <row r="167" spans="14:21" ht="13">
      <c r="N167" s="11"/>
      <c r="S167" s="11"/>
      <c r="T167" s="12"/>
      <c r="U167" s="1"/>
    </row>
    <row r="168" spans="14:21" ht="13">
      <c r="N168" s="11"/>
      <c r="S168" s="11"/>
      <c r="T168" s="12"/>
      <c r="U168" s="1"/>
    </row>
    <row r="169" spans="14:21" ht="13">
      <c r="N169" s="11"/>
      <c r="S169" s="11"/>
      <c r="T169" s="12"/>
      <c r="U169" s="1"/>
    </row>
    <row r="170" spans="14:21" ht="13">
      <c r="N170" s="11"/>
      <c r="S170" s="11"/>
      <c r="T170" s="12"/>
      <c r="U170" s="1"/>
    </row>
    <row r="171" spans="14:21" ht="13">
      <c r="N171" s="11"/>
      <c r="S171" s="11"/>
      <c r="T171" s="12"/>
      <c r="U171" s="1"/>
    </row>
    <row r="172" spans="14:21" ht="13">
      <c r="N172" s="11"/>
      <c r="S172" s="11"/>
      <c r="T172" s="12"/>
      <c r="U172" s="1"/>
    </row>
    <row r="173" spans="14:21" ht="13">
      <c r="N173" s="11"/>
      <c r="S173" s="11"/>
      <c r="T173" s="12"/>
      <c r="U173" s="1"/>
    </row>
    <row r="174" spans="14:21" ht="13">
      <c r="N174" s="11"/>
      <c r="S174" s="11"/>
      <c r="T174" s="12"/>
      <c r="U174" s="1"/>
    </row>
    <row r="175" spans="14:21" ht="13">
      <c r="N175" s="11"/>
      <c r="S175" s="11"/>
      <c r="T175" s="12"/>
      <c r="U175" s="1"/>
    </row>
    <row r="176" spans="14:21" ht="13">
      <c r="N176" s="11"/>
      <c r="S176" s="11"/>
      <c r="T176" s="12"/>
      <c r="U176" s="1"/>
    </row>
    <row r="177" spans="14:21" ht="13">
      <c r="N177" s="11"/>
      <c r="S177" s="11"/>
      <c r="T177" s="12"/>
      <c r="U177" s="1"/>
    </row>
    <row r="178" spans="14:21" ht="13">
      <c r="N178" s="11"/>
      <c r="S178" s="11"/>
      <c r="T178" s="12"/>
      <c r="U178" s="1"/>
    </row>
    <row r="179" spans="14:21" ht="13">
      <c r="N179" s="11"/>
      <c r="S179" s="11"/>
      <c r="T179" s="12"/>
      <c r="U179" s="1"/>
    </row>
    <row r="180" spans="14:21" ht="13">
      <c r="N180" s="11"/>
      <c r="S180" s="11"/>
      <c r="T180" s="12"/>
      <c r="U180" s="1"/>
    </row>
    <row r="181" spans="14:21" ht="13">
      <c r="N181" s="11"/>
      <c r="S181" s="11"/>
      <c r="T181" s="12"/>
      <c r="U181" s="1"/>
    </row>
    <row r="182" spans="14:21" ht="13">
      <c r="N182" s="11"/>
      <c r="S182" s="11"/>
      <c r="T182" s="12"/>
      <c r="U182" s="1"/>
    </row>
    <row r="183" spans="14:21" ht="13">
      <c r="N183" s="11"/>
      <c r="S183" s="11"/>
      <c r="T183" s="12"/>
      <c r="U183" s="1"/>
    </row>
    <row r="184" spans="14:21" ht="13">
      <c r="N184" s="11"/>
      <c r="S184" s="11"/>
      <c r="T184" s="12"/>
      <c r="U184" s="1"/>
    </row>
    <row r="185" spans="14:21" ht="13">
      <c r="N185" s="11"/>
      <c r="S185" s="11"/>
      <c r="T185" s="12"/>
      <c r="U185" s="1"/>
    </row>
    <row r="186" spans="14:21" ht="13">
      <c r="N186" s="11"/>
      <c r="S186" s="11"/>
      <c r="T186" s="12"/>
      <c r="U186" s="1"/>
    </row>
    <row r="187" spans="14:21" ht="13">
      <c r="N187" s="11"/>
      <c r="S187" s="11"/>
      <c r="T187" s="12"/>
      <c r="U187" s="1"/>
    </row>
    <row r="188" spans="14:21" ht="13">
      <c r="N188" s="11"/>
      <c r="S188" s="11"/>
      <c r="T188" s="12"/>
      <c r="U188" s="1"/>
    </row>
    <row r="189" spans="14:21" ht="13">
      <c r="N189" s="11"/>
      <c r="S189" s="11"/>
      <c r="T189" s="12"/>
      <c r="U189" s="1"/>
    </row>
    <row r="190" spans="14:21" ht="13">
      <c r="N190" s="11"/>
      <c r="S190" s="11"/>
      <c r="T190" s="12"/>
      <c r="U190" s="1"/>
    </row>
    <row r="191" spans="14:21" ht="13">
      <c r="N191" s="11"/>
      <c r="S191" s="11"/>
      <c r="T191" s="12"/>
      <c r="U191" s="1"/>
    </row>
    <row r="192" spans="14:21" ht="13">
      <c r="N192" s="11"/>
      <c r="S192" s="11"/>
      <c r="T192" s="12"/>
      <c r="U192" s="1"/>
    </row>
    <row r="193" spans="14:21" ht="13">
      <c r="N193" s="11"/>
      <c r="S193" s="11"/>
      <c r="T193" s="12"/>
      <c r="U193" s="1"/>
    </row>
    <row r="194" spans="14:21" ht="13">
      <c r="N194" s="11"/>
      <c r="S194" s="11"/>
      <c r="T194" s="12"/>
      <c r="U194" s="1"/>
    </row>
    <row r="195" spans="14:21" ht="13">
      <c r="N195" s="11"/>
      <c r="S195" s="11"/>
      <c r="T195" s="12"/>
      <c r="U195" s="1"/>
    </row>
    <row r="196" spans="14:21" ht="13">
      <c r="N196" s="11"/>
      <c r="S196" s="11"/>
      <c r="T196" s="12"/>
      <c r="U196" s="1"/>
    </row>
    <row r="197" spans="14:21" ht="13">
      <c r="N197" s="11"/>
      <c r="S197" s="11"/>
      <c r="T197" s="12"/>
      <c r="U197" s="1"/>
    </row>
    <row r="198" spans="14:21" ht="13">
      <c r="N198" s="11"/>
      <c r="S198" s="11"/>
      <c r="T198" s="12"/>
      <c r="U198" s="1"/>
    </row>
    <row r="199" spans="14:21" ht="13">
      <c r="N199" s="11"/>
      <c r="S199" s="11"/>
      <c r="T199" s="12"/>
      <c r="U199" s="1"/>
    </row>
    <row r="200" spans="14:21" ht="13">
      <c r="N200" s="11"/>
      <c r="S200" s="11"/>
      <c r="T200" s="12"/>
      <c r="U200" s="1"/>
    </row>
    <row r="201" spans="14:21" ht="13">
      <c r="N201" s="11"/>
      <c r="S201" s="11"/>
      <c r="T201" s="12"/>
      <c r="U201" s="1"/>
    </row>
    <row r="202" spans="14:21" ht="13">
      <c r="N202" s="11"/>
      <c r="S202" s="11"/>
      <c r="T202" s="12"/>
      <c r="U202" s="1"/>
    </row>
    <row r="203" spans="14:21" ht="13">
      <c r="N203" s="11"/>
      <c r="S203" s="11"/>
      <c r="T203" s="12"/>
      <c r="U203" s="1"/>
    </row>
    <row r="204" spans="14:21" ht="13">
      <c r="N204" s="11"/>
      <c r="S204" s="11"/>
      <c r="T204" s="12"/>
      <c r="U204" s="1"/>
    </row>
    <row r="205" spans="14:21" ht="13">
      <c r="N205" s="11"/>
      <c r="S205" s="11"/>
      <c r="T205" s="12"/>
      <c r="U205" s="1"/>
    </row>
    <row r="206" spans="14:21" ht="13">
      <c r="N206" s="11"/>
      <c r="S206" s="11"/>
      <c r="T206" s="12"/>
      <c r="U206" s="1"/>
    </row>
    <row r="207" spans="14:21" ht="13">
      <c r="N207" s="11"/>
      <c r="S207" s="11"/>
      <c r="T207" s="12"/>
      <c r="U207" s="1"/>
    </row>
    <row r="208" spans="14:21" ht="13">
      <c r="N208" s="11"/>
      <c r="S208" s="11"/>
      <c r="T208" s="12"/>
      <c r="U208" s="1"/>
    </row>
    <row r="209" spans="14:21" ht="13">
      <c r="N209" s="11"/>
      <c r="S209" s="11"/>
      <c r="T209" s="12"/>
      <c r="U209" s="1"/>
    </row>
    <row r="210" spans="14:21" ht="13">
      <c r="N210" s="11"/>
      <c r="S210" s="11"/>
      <c r="T210" s="12"/>
      <c r="U210" s="1"/>
    </row>
    <row r="211" spans="14:21" ht="13">
      <c r="N211" s="11"/>
      <c r="S211" s="11"/>
      <c r="T211" s="12"/>
      <c r="U211" s="1"/>
    </row>
    <row r="212" spans="14:21" ht="13">
      <c r="N212" s="11"/>
      <c r="S212" s="11"/>
      <c r="T212" s="12"/>
      <c r="U212" s="1"/>
    </row>
    <row r="213" spans="14:21" ht="13">
      <c r="N213" s="11"/>
      <c r="S213" s="11"/>
      <c r="T213" s="12"/>
      <c r="U213" s="1"/>
    </row>
    <row r="214" spans="14:21" ht="13">
      <c r="N214" s="11"/>
      <c r="S214" s="11"/>
      <c r="T214" s="12"/>
      <c r="U214" s="1"/>
    </row>
    <row r="215" spans="14:21" ht="13">
      <c r="N215" s="11"/>
      <c r="S215" s="11"/>
      <c r="T215" s="12"/>
      <c r="U215" s="1"/>
    </row>
    <row r="216" spans="14:21" ht="13">
      <c r="N216" s="11"/>
      <c r="S216" s="11"/>
      <c r="T216" s="12"/>
      <c r="U216" s="1"/>
    </row>
    <row r="217" spans="14:21" ht="13">
      <c r="N217" s="11"/>
      <c r="S217" s="11"/>
      <c r="T217" s="12"/>
      <c r="U217" s="1"/>
    </row>
    <row r="218" spans="14:21" ht="13">
      <c r="N218" s="11"/>
      <c r="S218" s="11"/>
      <c r="T218" s="12"/>
      <c r="U218" s="1"/>
    </row>
    <row r="219" spans="14:21" ht="13">
      <c r="N219" s="11"/>
      <c r="S219" s="11"/>
      <c r="T219" s="12"/>
      <c r="U219" s="1"/>
    </row>
    <row r="220" spans="14:21" ht="13">
      <c r="N220" s="11"/>
      <c r="S220" s="11"/>
      <c r="T220" s="12"/>
      <c r="U220" s="1"/>
    </row>
    <row r="221" spans="14:21" ht="13">
      <c r="N221" s="11"/>
      <c r="S221" s="11"/>
      <c r="T221" s="12"/>
      <c r="U221" s="1"/>
    </row>
    <row r="222" spans="14:21" ht="13">
      <c r="N222" s="11"/>
      <c r="S222" s="11"/>
      <c r="T222" s="12"/>
      <c r="U222" s="1"/>
    </row>
    <row r="223" spans="14:21" ht="13">
      <c r="N223" s="11"/>
      <c r="S223" s="11"/>
      <c r="T223" s="12"/>
      <c r="U223" s="1"/>
    </row>
    <row r="224" spans="14:21" ht="13">
      <c r="N224" s="11"/>
      <c r="S224" s="11"/>
      <c r="T224" s="12"/>
      <c r="U224" s="1"/>
    </row>
    <row r="225" spans="14:21" ht="13">
      <c r="N225" s="11"/>
      <c r="S225" s="11"/>
      <c r="T225" s="12"/>
      <c r="U225" s="1"/>
    </row>
    <row r="226" spans="14:21" ht="13">
      <c r="N226" s="11"/>
      <c r="S226" s="11"/>
      <c r="T226" s="12"/>
      <c r="U226" s="1"/>
    </row>
    <row r="227" spans="14:21" ht="13">
      <c r="N227" s="11"/>
      <c r="S227" s="11"/>
      <c r="T227" s="12"/>
      <c r="U227" s="1"/>
    </row>
    <row r="228" spans="14:21" ht="13">
      <c r="N228" s="11"/>
      <c r="S228" s="11"/>
      <c r="T228" s="12"/>
      <c r="U228" s="1"/>
    </row>
    <row r="229" spans="14:21" ht="13">
      <c r="N229" s="11"/>
      <c r="S229" s="11"/>
      <c r="T229" s="12"/>
      <c r="U229" s="1"/>
    </row>
    <row r="230" spans="14:21" ht="13">
      <c r="N230" s="11"/>
      <c r="S230" s="11"/>
      <c r="T230" s="12"/>
      <c r="U230" s="1"/>
    </row>
    <row r="231" spans="14:21" ht="13">
      <c r="N231" s="11"/>
      <c r="S231" s="11"/>
      <c r="T231" s="12"/>
      <c r="U231" s="1"/>
    </row>
    <row r="232" spans="14:21" ht="13">
      <c r="N232" s="11"/>
      <c r="S232" s="11"/>
      <c r="T232" s="12"/>
      <c r="U232" s="1"/>
    </row>
    <row r="233" spans="14:21" ht="13">
      <c r="N233" s="11"/>
      <c r="S233" s="11"/>
      <c r="T233" s="12"/>
      <c r="U233" s="1"/>
    </row>
    <row r="234" spans="14:21" ht="13">
      <c r="N234" s="11"/>
      <c r="S234" s="11"/>
      <c r="T234" s="12"/>
      <c r="U234" s="1"/>
    </row>
    <row r="235" spans="14:21" ht="13">
      <c r="N235" s="11"/>
      <c r="S235" s="11"/>
      <c r="T235" s="12"/>
      <c r="U235" s="1"/>
    </row>
    <row r="236" spans="14:21" ht="13">
      <c r="N236" s="11"/>
      <c r="S236" s="11"/>
      <c r="T236" s="12"/>
      <c r="U236" s="1"/>
    </row>
    <row r="237" spans="14:21" ht="13">
      <c r="N237" s="11"/>
      <c r="S237" s="11"/>
      <c r="T237" s="12"/>
      <c r="U237" s="1"/>
    </row>
    <row r="238" spans="14:21" ht="13">
      <c r="N238" s="11"/>
      <c r="S238" s="11"/>
      <c r="T238" s="12"/>
      <c r="U238" s="1"/>
    </row>
    <row r="239" spans="14:21" ht="13">
      <c r="N239" s="11"/>
      <c r="S239" s="11"/>
      <c r="T239" s="12"/>
      <c r="U239" s="1"/>
    </row>
    <row r="240" spans="14:21" ht="13">
      <c r="N240" s="11"/>
      <c r="S240" s="11"/>
      <c r="T240" s="12"/>
      <c r="U240" s="1"/>
    </row>
    <row r="241" spans="14:21" ht="13">
      <c r="N241" s="11"/>
      <c r="S241" s="11"/>
      <c r="T241" s="12"/>
      <c r="U241" s="1"/>
    </row>
    <row r="242" spans="14:21" ht="13">
      <c r="N242" s="11"/>
      <c r="S242" s="11"/>
      <c r="T242" s="12"/>
      <c r="U242" s="1"/>
    </row>
    <row r="243" spans="14:21" ht="13">
      <c r="N243" s="11"/>
      <c r="S243" s="11"/>
      <c r="T243" s="12"/>
      <c r="U243" s="1"/>
    </row>
    <row r="244" spans="14:21" ht="13">
      <c r="N244" s="11"/>
      <c r="S244" s="11"/>
      <c r="T244" s="12"/>
      <c r="U244" s="1"/>
    </row>
    <row r="245" spans="14:21" ht="13">
      <c r="N245" s="11"/>
      <c r="S245" s="11"/>
      <c r="T245" s="12"/>
      <c r="U245" s="1"/>
    </row>
    <row r="246" spans="14:21" ht="13">
      <c r="N246" s="11"/>
      <c r="S246" s="11"/>
      <c r="T246" s="12"/>
      <c r="U246" s="1"/>
    </row>
    <row r="247" spans="14:21" ht="13">
      <c r="N247" s="11"/>
      <c r="S247" s="11"/>
      <c r="T247" s="12"/>
      <c r="U247" s="1"/>
    </row>
    <row r="248" spans="14:21" ht="13">
      <c r="N248" s="11"/>
      <c r="S248" s="11"/>
      <c r="T248" s="12"/>
      <c r="U248" s="1"/>
    </row>
    <row r="249" spans="14:21" ht="13">
      <c r="N249" s="11"/>
      <c r="S249" s="11"/>
      <c r="T249" s="12"/>
      <c r="U249" s="1"/>
    </row>
    <row r="250" spans="14:21" ht="13">
      <c r="N250" s="11"/>
      <c r="S250" s="11"/>
      <c r="T250" s="12"/>
      <c r="U250" s="1"/>
    </row>
    <row r="251" spans="14:21" ht="13">
      <c r="N251" s="11"/>
      <c r="S251" s="11"/>
      <c r="T251" s="12"/>
      <c r="U251" s="1"/>
    </row>
    <row r="252" spans="14:21" ht="13">
      <c r="N252" s="11"/>
      <c r="S252" s="11"/>
      <c r="T252" s="12"/>
      <c r="U252" s="1"/>
    </row>
    <row r="253" spans="14:21" ht="13">
      <c r="N253" s="11"/>
      <c r="S253" s="11"/>
      <c r="T253" s="12"/>
      <c r="U253" s="1"/>
    </row>
    <row r="254" spans="14:21" ht="13">
      <c r="N254" s="11"/>
      <c r="S254" s="11"/>
      <c r="T254" s="12"/>
      <c r="U254" s="1"/>
    </row>
    <row r="255" spans="14:21" ht="13">
      <c r="N255" s="11"/>
      <c r="S255" s="11"/>
      <c r="T255" s="12"/>
      <c r="U255" s="1"/>
    </row>
    <row r="256" spans="14:21" ht="13">
      <c r="N256" s="11"/>
      <c r="S256" s="11"/>
      <c r="T256" s="12"/>
      <c r="U256" s="1"/>
    </row>
    <row r="257" spans="14:21" ht="13">
      <c r="N257" s="11"/>
      <c r="S257" s="11"/>
      <c r="T257" s="12"/>
      <c r="U257" s="1"/>
    </row>
    <row r="258" spans="14:21" ht="13">
      <c r="N258" s="11"/>
      <c r="S258" s="11"/>
      <c r="T258" s="12"/>
      <c r="U258" s="1"/>
    </row>
    <row r="259" spans="14:21" ht="13">
      <c r="N259" s="11"/>
      <c r="S259" s="11"/>
      <c r="T259" s="12"/>
      <c r="U259" s="1"/>
    </row>
    <row r="260" spans="14:21" ht="13">
      <c r="N260" s="11"/>
      <c r="S260" s="11"/>
      <c r="T260" s="12"/>
      <c r="U260" s="1"/>
    </row>
    <row r="261" spans="14:21" ht="13">
      <c r="N261" s="11"/>
      <c r="S261" s="11"/>
      <c r="T261" s="12"/>
      <c r="U261" s="1"/>
    </row>
    <row r="262" spans="14:21" ht="13">
      <c r="N262" s="11"/>
      <c r="S262" s="11"/>
      <c r="T262" s="12"/>
      <c r="U262" s="1"/>
    </row>
    <row r="263" spans="14:21" ht="13">
      <c r="N263" s="11"/>
      <c r="S263" s="11"/>
      <c r="T263" s="12"/>
      <c r="U263" s="1"/>
    </row>
    <row r="264" spans="14:21" ht="13">
      <c r="N264" s="11"/>
      <c r="S264" s="11"/>
      <c r="T264" s="12"/>
      <c r="U264" s="1"/>
    </row>
    <row r="265" spans="14:21" ht="13">
      <c r="N265" s="11"/>
      <c r="S265" s="11"/>
      <c r="T265" s="12"/>
      <c r="U265" s="1"/>
    </row>
    <row r="266" spans="14:21" ht="13">
      <c r="N266" s="11"/>
      <c r="S266" s="11"/>
      <c r="T266" s="12"/>
      <c r="U266" s="1"/>
    </row>
    <row r="267" spans="14:21" ht="13">
      <c r="N267" s="11"/>
      <c r="S267" s="11"/>
      <c r="T267" s="12"/>
      <c r="U267" s="1"/>
    </row>
    <row r="268" spans="14:21" ht="13">
      <c r="N268" s="11"/>
      <c r="S268" s="11"/>
      <c r="T268" s="12"/>
      <c r="U268" s="1"/>
    </row>
    <row r="269" spans="14:21" ht="13">
      <c r="N269" s="11"/>
      <c r="S269" s="11"/>
      <c r="T269" s="12"/>
      <c r="U269" s="1"/>
    </row>
    <row r="270" spans="14:21" ht="13">
      <c r="N270" s="11"/>
      <c r="S270" s="11"/>
      <c r="T270" s="12"/>
      <c r="U270" s="1"/>
    </row>
    <row r="271" spans="14:21" ht="13">
      <c r="N271" s="11"/>
      <c r="S271" s="11"/>
      <c r="T271" s="12"/>
      <c r="U271" s="1"/>
    </row>
    <row r="272" spans="14:21" ht="13">
      <c r="N272" s="11"/>
      <c r="S272" s="11"/>
      <c r="T272" s="12"/>
      <c r="U272" s="1"/>
    </row>
    <row r="273" spans="14:21" ht="13">
      <c r="N273" s="11"/>
      <c r="S273" s="11"/>
      <c r="T273" s="12"/>
      <c r="U273" s="1"/>
    </row>
    <row r="274" spans="14:21" ht="13">
      <c r="N274" s="11"/>
      <c r="S274" s="11"/>
      <c r="T274" s="12"/>
      <c r="U274" s="1"/>
    </row>
    <row r="275" spans="14:21" ht="13">
      <c r="N275" s="11"/>
      <c r="S275" s="11"/>
      <c r="T275" s="12"/>
      <c r="U275" s="1"/>
    </row>
    <row r="276" spans="14:21" ht="13">
      <c r="N276" s="11"/>
      <c r="S276" s="11"/>
      <c r="T276" s="12"/>
      <c r="U276" s="1"/>
    </row>
    <row r="277" spans="14:21" ht="13">
      <c r="N277" s="11"/>
      <c r="S277" s="11"/>
      <c r="T277" s="12"/>
      <c r="U277" s="1"/>
    </row>
    <row r="278" spans="14:21" ht="13">
      <c r="N278" s="11"/>
      <c r="S278" s="11"/>
      <c r="T278" s="12"/>
      <c r="U278" s="1"/>
    </row>
    <row r="279" spans="14:21" ht="13">
      <c r="N279" s="11"/>
      <c r="S279" s="11"/>
      <c r="T279" s="12"/>
      <c r="U279" s="1"/>
    </row>
    <row r="280" spans="14:21" ht="13">
      <c r="N280" s="11"/>
      <c r="S280" s="11"/>
      <c r="T280" s="12"/>
      <c r="U280" s="1"/>
    </row>
    <row r="281" spans="14:21" ht="13">
      <c r="N281" s="11"/>
      <c r="S281" s="11"/>
      <c r="T281" s="12"/>
      <c r="U281" s="1"/>
    </row>
    <row r="282" spans="14:21" ht="13">
      <c r="N282" s="11"/>
      <c r="S282" s="11"/>
      <c r="T282" s="12"/>
      <c r="U282" s="1"/>
    </row>
    <row r="283" spans="14:21" ht="13">
      <c r="N283" s="11"/>
      <c r="S283" s="11"/>
      <c r="T283" s="12"/>
      <c r="U283" s="1"/>
    </row>
    <row r="284" spans="14:21" ht="13">
      <c r="N284" s="11"/>
      <c r="S284" s="11"/>
      <c r="T284" s="12"/>
      <c r="U284" s="1"/>
    </row>
    <row r="285" spans="14:21" ht="13">
      <c r="N285" s="11"/>
      <c r="S285" s="11"/>
      <c r="T285" s="12"/>
      <c r="U285" s="1"/>
    </row>
    <row r="286" spans="14:21" ht="13">
      <c r="N286" s="11"/>
      <c r="S286" s="11"/>
      <c r="T286" s="12"/>
      <c r="U286" s="1"/>
    </row>
    <row r="287" spans="14:21" ht="13">
      <c r="N287" s="11"/>
      <c r="S287" s="11"/>
      <c r="T287" s="12"/>
      <c r="U287" s="1"/>
    </row>
    <row r="288" spans="14:21" ht="13">
      <c r="N288" s="11"/>
      <c r="S288" s="11"/>
      <c r="T288" s="12"/>
      <c r="U288" s="1"/>
    </row>
    <row r="289" spans="14:21" ht="13">
      <c r="N289" s="11"/>
      <c r="S289" s="11"/>
      <c r="T289" s="12"/>
      <c r="U289" s="1"/>
    </row>
    <row r="290" spans="14:21" ht="13">
      <c r="N290" s="11"/>
      <c r="S290" s="11"/>
      <c r="T290" s="12"/>
      <c r="U290" s="1"/>
    </row>
    <row r="291" spans="14:21" ht="13">
      <c r="N291" s="11"/>
      <c r="S291" s="11"/>
      <c r="T291" s="12"/>
      <c r="U291" s="1"/>
    </row>
    <row r="292" spans="14:21" ht="13">
      <c r="N292" s="11"/>
      <c r="S292" s="11"/>
      <c r="T292" s="12"/>
      <c r="U292" s="1"/>
    </row>
    <row r="293" spans="14:21" ht="13">
      <c r="N293" s="11"/>
      <c r="S293" s="11"/>
      <c r="T293" s="12"/>
      <c r="U293" s="1"/>
    </row>
    <row r="294" spans="14:21" ht="13">
      <c r="N294" s="11"/>
      <c r="S294" s="11"/>
      <c r="T294" s="12"/>
      <c r="U294" s="1"/>
    </row>
    <row r="295" spans="14:21" ht="13">
      <c r="N295" s="11"/>
      <c r="S295" s="11"/>
      <c r="T295" s="12"/>
      <c r="U295" s="1"/>
    </row>
    <row r="296" spans="14:21" ht="13">
      <c r="N296" s="11"/>
      <c r="S296" s="11"/>
      <c r="T296" s="12"/>
      <c r="U296" s="1"/>
    </row>
    <row r="297" spans="14:21" ht="13">
      <c r="N297" s="11"/>
      <c r="S297" s="11"/>
      <c r="T297" s="12"/>
      <c r="U297" s="1"/>
    </row>
    <row r="298" spans="14:21" ht="13">
      <c r="N298" s="11"/>
      <c r="S298" s="11"/>
      <c r="T298" s="12"/>
      <c r="U298" s="1"/>
    </row>
    <row r="299" spans="14:21" ht="13">
      <c r="N299" s="11"/>
      <c r="S299" s="11"/>
      <c r="T299" s="12"/>
      <c r="U299" s="1"/>
    </row>
    <row r="300" spans="14:21" ht="13">
      <c r="N300" s="11"/>
      <c r="S300" s="11"/>
      <c r="T300" s="12"/>
      <c r="U300" s="1"/>
    </row>
    <row r="301" spans="14:21" ht="13">
      <c r="N301" s="11"/>
      <c r="S301" s="11"/>
      <c r="T301" s="12"/>
      <c r="U301" s="1"/>
    </row>
    <row r="302" spans="14:21" ht="13">
      <c r="N302" s="11"/>
      <c r="S302" s="11"/>
      <c r="T302" s="12"/>
      <c r="U302" s="1"/>
    </row>
    <row r="303" spans="14:21" ht="13">
      <c r="N303" s="11"/>
      <c r="S303" s="11"/>
      <c r="T303" s="12"/>
      <c r="U303" s="1"/>
    </row>
    <row r="304" spans="14:21" ht="13">
      <c r="N304" s="11"/>
      <c r="S304" s="11"/>
      <c r="T304" s="12"/>
      <c r="U304" s="1"/>
    </row>
    <row r="305" spans="14:21" ht="13">
      <c r="N305" s="11"/>
      <c r="S305" s="11"/>
      <c r="T305" s="12"/>
      <c r="U305" s="1"/>
    </row>
    <row r="306" spans="14:21" ht="13">
      <c r="N306" s="11"/>
      <c r="S306" s="11"/>
      <c r="T306" s="12"/>
      <c r="U306" s="1"/>
    </row>
    <row r="307" spans="14:21" ht="13">
      <c r="N307" s="11"/>
      <c r="S307" s="11"/>
      <c r="T307" s="12"/>
      <c r="U307" s="1"/>
    </row>
    <row r="308" spans="14:21" ht="13">
      <c r="N308" s="11"/>
      <c r="S308" s="11"/>
      <c r="T308" s="12"/>
      <c r="U308" s="1"/>
    </row>
    <row r="309" spans="14:21" ht="13">
      <c r="N309" s="11"/>
      <c r="S309" s="11"/>
      <c r="T309" s="12"/>
      <c r="U309" s="1"/>
    </row>
    <row r="310" spans="14:21" ht="13">
      <c r="N310" s="11"/>
      <c r="S310" s="11"/>
      <c r="T310" s="12"/>
      <c r="U310" s="1"/>
    </row>
    <row r="311" spans="14:21" ht="13">
      <c r="N311" s="11"/>
      <c r="S311" s="11"/>
      <c r="T311" s="12"/>
      <c r="U311" s="1"/>
    </row>
    <row r="312" spans="14:21" ht="13">
      <c r="N312" s="11"/>
      <c r="S312" s="11"/>
      <c r="T312" s="12"/>
      <c r="U312" s="1"/>
    </row>
    <row r="313" spans="14:21" ht="13">
      <c r="N313" s="11"/>
      <c r="S313" s="11"/>
      <c r="T313" s="12"/>
      <c r="U313" s="1"/>
    </row>
    <row r="314" spans="14:21" ht="13">
      <c r="N314" s="11"/>
      <c r="S314" s="11"/>
      <c r="T314" s="12"/>
      <c r="U314" s="1"/>
    </row>
    <row r="315" spans="14:21" ht="13">
      <c r="N315" s="11"/>
      <c r="S315" s="11"/>
      <c r="T315" s="12"/>
      <c r="U315" s="1"/>
    </row>
    <row r="316" spans="14:21" ht="13">
      <c r="N316" s="11"/>
      <c r="S316" s="11"/>
      <c r="T316" s="12"/>
      <c r="U316" s="1"/>
    </row>
    <row r="317" spans="14:21" ht="13">
      <c r="N317" s="11"/>
      <c r="S317" s="11"/>
      <c r="T317" s="12"/>
      <c r="U317" s="1"/>
    </row>
    <row r="318" spans="14:21" ht="13">
      <c r="N318" s="11"/>
      <c r="S318" s="11"/>
      <c r="T318" s="12"/>
      <c r="U318" s="1"/>
    </row>
    <row r="319" spans="14:21" ht="13">
      <c r="N319" s="11"/>
      <c r="S319" s="11"/>
      <c r="T319" s="12"/>
      <c r="U319" s="1"/>
    </row>
    <row r="320" spans="14:21" ht="13">
      <c r="N320" s="11"/>
      <c r="S320" s="11"/>
      <c r="T320" s="12"/>
      <c r="U320" s="1"/>
    </row>
    <row r="321" spans="14:21" ht="13">
      <c r="N321" s="11"/>
      <c r="S321" s="11"/>
      <c r="T321" s="12"/>
      <c r="U321" s="1"/>
    </row>
    <row r="322" spans="14:21" ht="13">
      <c r="N322" s="11"/>
      <c r="S322" s="11"/>
      <c r="T322" s="12"/>
      <c r="U322" s="1"/>
    </row>
    <row r="323" spans="14:21" ht="13">
      <c r="N323" s="11"/>
      <c r="S323" s="11"/>
      <c r="T323" s="12"/>
      <c r="U323" s="1"/>
    </row>
    <row r="324" spans="14:21" ht="13">
      <c r="N324" s="11"/>
      <c r="S324" s="11"/>
      <c r="T324" s="12"/>
      <c r="U324" s="1"/>
    </row>
    <row r="325" spans="14:21" ht="13">
      <c r="N325" s="11"/>
      <c r="S325" s="11"/>
      <c r="T325" s="12"/>
      <c r="U325" s="1"/>
    </row>
    <row r="326" spans="14:21" ht="13">
      <c r="N326" s="11"/>
      <c r="S326" s="11"/>
      <c r="T326" s="12"/>
      <c r="U326" s="1"/>
    </row>
    <row r="327" spans="14:21" ht="13">
      <c r="N327" s="11"/>
      <c r="S327" s="11"/>
      <c r="T327" s="12"/>
      <c r="U327" s="1"/>
    </row>
    <row r="328" spans="14:21" ht="13">
      <c r="N328" s="11"/>
      <c r="S328" s="11"/>
      <c r="T328" s="12"/>
      <c r="U328" s="1"/>
    </row>
    <row r="329" spans="14:21" ht="13">
      <c r="N329" s="11"/>
      <c r="S329" s="11"/>
      <c r="T329" s="12"/>
      <c r="U329" s="1"/>
    </row>
    <row r="330" spans="14:21" ht="13">
      <c r="N330" s="11"/>
      <c r="S330" s="11"/>
      <c r="T330" s="12"/>
      <c r="U330" s="1"/>
    </row>
    <row r="331" spans="14:21" ht="13">
      <c r="N331" s="11"/>
      <c r="S331" s="11"/>
      <c r="T331" s="12"/>
      <c r="U331" s="1"/>
    </row>
    <row r="332" spans="14:21" ht="13">
      <c r="N332" s="11"/>
      <c r="S332" s="11"/>
      <c r="T332" s="12"/>
      <c r="U332" s="1"/>
    </row>
    <row r="333" spans="14:21" ht="13">
      <c r="N333" s="11"/>
      <c r="S333" s="11"/>
      <c r="T333" s="12"/>
      <c r="U333" s="1"/>
    </row>
    <row r="334" spans="14:21" ht="13">
      <c r="N334" s="11"/>
      <c r="S334" s="11"/>
      <c r="T334" s="12"/>
      <c r="U334" s="1"/>
    </row>
    <row r="335" spans="14:21" ht="13">
      <c r="N335" s="11"/>
      <c r="S335" s="11"/>
      <c r="T335" s="12"/>
      <c r="U335" s="1"/>
    </row>
    <row r="336" spans="14:21" ht="13">
      <c r="N336" s="11"/>
      <c r="S336" s="11"/>
      <c r="T336" s="12"/>
      <c r="U336" s="1"/>
    </row>
    <row r="337" spans="14:21" ht="13">
      <c r="N337" s="11"/>
      <c r="S337" s="11"/>
      <c r="T337" s="12"/>
      <c r="U337" s="1"/>
    </row>
    <row r="338" spans="14:21" ht="13">
      <c r="N338" s="11"/>
      <c r="S338" s="11"/>
      <c r="T338" s="12"/>
      <c r="U338" s="1"/>
    </row>
    <row r="339" spans="14:21" ht="13">
      <c r="N339" s="11"/>
      <c r="S339" s="11"/>
      <c r="T339" s="12"/>
      <c r="U339" s="1"/>
    </row>
    <row r="340" spans="14:21" ht="13">
      <c r="N340" s="11"/>
      <c r="S340" s="11"/>
      <c r="T340" s="12"/>
      <c r="U340" s="1"/>
    </row>
    <row r="341" spans="14:21" ht="13">
      <c r="N341" s="11"/>
      <c r="S341" s="11"/>
      <c r="T341" s="12"/>
      <c r="U341" s="1"/>
    </row>
    <row r="342" spans="14:21" ht="13">
      <c r="N342" s="11"/>
      <c r="S342" s="11"/>
      <c r="T342" s="12"/>
      <c r="U342" s="1"/>
    </row>
    <row r="343" spans="14:21" ht="13">
      <c r="N343" s="11"/>
      <c r="S343" s="11"/>
      <c r="T343" s="12"/>
      <c r="U343" s="1"/>
    </row>
    <row r="344" spans="14:21" ht="13">
      <c r="N344" s="11"/>
      <c r="S344" s="11"/>
      <c r="T344" s="12"/>
      <c r="U344" s="1"/>
    </row>
    <row r="345" spans="14:21" ht="13">
      <c r="N345" s="11"/>
      <c r="S345" s="11"/>
      <c r="T345" s="12"/>
      <c r="U345" s="1"/>
    </row>
    <row r="346" spans="14:21" ht="13">
      <c r="N346" s="11"/>
      <c r="S346" s="11"/>
      <c r="T346" s="12"/>
      <c r="U346" s="1"/>
    </row>
    <row r="347" spans="14:21" ht="13">
      <c r="N347" s="11"/>
      <c r="S347" s="11"/>
      <c r="T347" s="12"/>
      <c r="U347" s="1"/>
    </row>
    <row r="348" spans="14:21" ht="13">
      <c r="N348" s="11"/>
      <c r="S348" s="11"/>
      <c r="T348" s="12"/>
      <c r="U348" s="1"/>
    </row>
    <row r="349" spans="14:21" ht="13">
      <c r="N349" s="11"/>
      <c r="S349" s="11"/>
      <c r="T349" s="12"/>
      <c r="U349" s="1"/>
    </row>
    <row r="350" spans="14:21" ht="13">
      <c r="N350" s="11"/>
      <c r="S350" s="11"/>
      <c r="T350" s="12"/>
      <c r="U350" s="1"/>
    </row>
    <row r="351" spans="14:21" ht="13">
      <c r="N351" s="11"/>
      <c r="S351" s="11"/>
      <c r="T351" s="12"/>
      <c r="U351" s="1"/>
    </row>
    <row r="352" spans="14:21" ht="13">
      <c r="N352" s="11"/>
      <c r="S352" s="11"/>
      <c r="T352" s="12"/>
      <c r="U352" s="1"/>
    </row>
    <row r="353" spans="14:21" ht="13">
      <c r="N353" s="11"/>
      <c r="S353" s="11"/>
      <c r="T353" s="12"/>
      <c r="U353" s="1"/>
    </row>
    <row r="354" spans="14:21" ht="13">
      <c r="N354" s="11"/>
      <c r="S354" s="11"/>
      <c r="T354" s="12"/>
      <c r="U354" s="1"/>
    </row>
    <row r="355" spans="14:21" ht="13">
      <c r="N355" s="11"/>
      <c r="S355" s="11"/>
      <c r="T355" s="12"/>
      <c r="U355" s="1"/>
    </row>
    <row r="356" spans="14:21" ht="13">
      <c r="N356" s="11"/>
      <c r="S356" s="11"/>
      <c r="T356" s="12"/>
      <c r="U356" s="1"/>
    </row>
    <row r="357" spans="14:21" ht="13">
      <c r="N357" s="11"/>
      <c r="S357" s="11"/>
      <c r="T357" s="12"/>
      <c r="U357" s="1"/>
    </row>
    <row r="358" spans="14:21" ht="13">
      <c r="N358" s="11"/>
      <c r="S358" s="11"/>
      <c r="T358" s="12"/>
      <c r="U358" s="1"/>
    </row>
    <row r="359" spans="14:21" ht="13">
      <c r="N359" s="11"/>
      <c r="S359" s="11"/>
      <c r="T359" s="12"/>
      <c r="U359" s="1"/>
    </row>
    <row r="360" spans="14:21" ht="13">
      <c r="N360" s="11"/>
      <c r="S360" s="11"/>
      <c r="T360" s="12"/>
      <c r="U360" s="1"/>
    </row>
    <row r="361" spans="14:21" ht="13">
      <c r="N361" s="11"/>
      <c r="S361" s="11"/>
      <c r="T361" s="12"/>
      <c r="U361" s="1"/>
    </row>
    <row r="362" spans="14:21" ht="13">
      <c r="N362" s="11"/>
      <c r="S362" s="11"/>
      <c r="T362" s="12"/>
      <c r="U362" s="1"/>
    </row>
    <row r="363" spans="14:21" ht="13">
      <c r="N363" s="11"/>
      <c r="S363" s="11"/>
      <c r="T363" s="12"/>
      <c r="U363" s="1"/>
    </row>
    <row r="364" spans="14:21" ht="13">
      <c r="N364" s="11"/>
      <c r="S364" s="11"/>
      <c r="T364" s="12"/>
      <c r="U364" s="1"/>
    </row>
    <row r="365" spans="14:21" ht="13">
      <c r="N365" s="11"/>
      <c r="S365" s="11"/>
      <c r="T365" s="12"/>
      <c r="U365" s="1"/>
    </row>
    <row r="366" spans="14:21" ht="13">
      <c r="N366" s="11"/>
      <c r="S366" s="11"/>
      <c r="T366" s="12"/>
      <c r="U366" s="1"/>
    </row>
    <row r="367" spans="14:21" ht="13">
      <c r="N367" s="11"/>
      <c r="S367" s="11"/>
      <c r="T367" s="12"/>
      <c r="U367" s="1"/>
    </row>
    <row r="368" spans="14:21" ht="13">
      <c r="N368" s="11"/>
      <c r="S368" s="11"/>
      <c r="T368" s="12"/>
      <c r="U368" s="1"/>
    </row>
    <row r="369" spans="14:21" ht="13">
      <c r="N369" s="11"/>
      <c r="S369" s="11"/>
      <c r="T369" s="12"/>
      <c r="U369" s="1"/>
    </row>
    <row r="370" spans="14:21" ht="13">
      <c r="N370" s="11"/>
      <c r="S370" s="11"/>
      <c r="T370" s="12"/>
      <c r="U370" s="1"/>
    </row>
    <row r="371" spans="14:21" ht="13">
      <c r="N371" s="11"/>
      <c r="S371" s="11"/>
      <c r="T371" s="12"/>
      <c r="U371" s="1"/>
    </row>
    <row r="372" spans="14:21" ht="13">
      <c r="N372" s="11"/>
      <c r="S372" s="11"/>
      <c r="T372" s="12"/>
      <c r="U372" s="1"/>
    </row>
    <row r="373" spans="14:21" ht="13">
      <c r="N373" s="11"/>
      <c r="S373" s="11"/>
      <c r="T373" s="12"/>
      <c r="U373" s="1"/>
    </row>
    <row r="374" spans="14:21" ht="13">
      <c r="N374" s="11"/>
      <c r="S374" s="11"/>
      <c r="T374" s="12"/>
      <c r="U374" s="1"/>
    </row>
    <row r="375" spans="14:21" ht="13">
      <c r="N375" s="11"/>
      <c r="S375" s="11"/>
      <c r="T375" s="12"/>
      <c r="U375" s="1"/>
    </row>
    <row r="376" spans="14:21" ht="13">
      <c r="N376" s="11"/>
      <c r="S376" s="11"/>
      <c r="T376" s="12"/>
      <c r="U376" s="1"/>
    </row>
    <row r="377" spans="14:21" ht="13">
      <c r="N377" s="11"/>
      <c r="S377" s="11"/>
      <c r="T377" s="12"/>
      <c r="U377" s="1"/>
    </row>
    <row r="378" spans="14:21" ht="13">
      <c r="N378" s="11"/>
      <c r="S378" s="11"/>
      <c r="T378" s="12"/>
      <c r="U378" s="1"/>
    </row>
    <row r="379" spans="14:21" ht="13">
      <c r="N379" s="11"/>
      <c r="S379" s="11"/>
      <c r="T379" s="12"/>
      <c r="U379" s="1"/>
    </row>
    <row r="380" spans="14:21" ht="13">
      <c r="N380" s="11"/>
      <c r="S380" s="11"/>
      <c r="T380" s="12"/>
      <c r="U380" s="1"/>
    </row>
    <row r="381" spans="14:21" ht="13">
      <c r="N381" s="11"/>
      <c r="S381" s="11"/>
      <c r="T381" s="12"/>
      <c r="U381" s="1"/>
    </row>
    <row r="382" spans="14:21" ht="13">
      <c r="N382" s="11"/>
      <c r="S382" s="11"/>
      <c r="T382" s="12"/>
      <c r="U382" s="1"/>
    </row>
    <row r="383" spans="14:21" ht="13">
      <c r="N383" s="11"/>
      <c r="S383" s="11"/>
      <c r="T383" s="12"/>
      <c r="U383" s="1"/>
    </row>
    <row r="384" spans="14:21" ht="13">
      <c r="N384" s="11"/>
      <c r="S384" s="11"/>
      <c r="T384" s="12"/>
      <c r="U384" s="1"/>
    </row>
    <row r="385" spans="14:21" ht="13">
      <c r="N385" s="11"/>
      <c r="S385" s="11"/>
      <c r="T385" s="12"/>
      <c r="U385" s="1"/>
    </row>
    <row r="386" spans="14:21" ht="13">
      <c r="N386" s="11"/>
      <c r="S386" s="11"/>
      <c r="T386" s="12"/>
      <c r="U386" s="1"/>
    </row>
    <row r="387" spans="14:21" ht="13">
      <c r="N387" s="11"/>
      <c r="S387" s="11"/>
      <c r="T387" s="12"/>
      <c r="U387" s="1"/>
    </row>
    <row r="388" spans="14:21" ht="13">
      <c r="N388" s="11"/>
      <c r="S388" s="11"/>
      <c r="T388" s="12"/>
      <c r="U388" s="1"/>
    </row>
    <row r="389" spans="14:21" ht="13">
      <c r="N389" s="11"/>
      <c r="S389" s="11"/>
      <c r="T389" s="12"/>
      <c r="U389" s="1"/>
    </row>
    <row r="390" spans="14:21" ht="13">
      <c r="N390" s="11"/>
      <c r="S390" s="11"/>
      <c r="T390" s="12"/>
      <c r="U390" s="1"/>
    </row>
    <row r="391" spans="14:21" ht="13">
      <c r="N391" s="11"/>
      <c r="S391" s="11"/>
      <c r="T391" s="12"/>
      <c r="U391" s="1"/>
    </row>
    <row r="392" spans="14:21" ht="13">
      <c r="N392" s="11"/>
      <c r="S392" s="11"/>
      <c r="T392" s="12"/>
      <c r="U392" s="1"/>
    </row>
    <row r="393" spans="14:21" ht="13">
      <c r="N393" s="11"/>
      <c r="S393" s="11"/>
      <c r="T393" s="12"/>
      <c r="U393" s="1"/>
    </row>
    <row r="394" spans="14:21" ht="13">
      <c r="N394" s="11"/>
      <c r="S394" s="11"/>
      <c r="T394" s="12"/>
      <c r="U394" s="1"/>
    </row>
    <row r="395" spans="14:21" ht="13">
      <c r="N395" s="11"/>
      <c r="S395" s="11"/>
      <c r="T395" s="12"/>
      <c r="U395" s="1"/>
    </row>
    <row r="396" spans="14:21" ht="13">
      <c r="N396" s="11"/>
      <c r="S396" s="11"/>
      <c r="T396" s="12"/>
      <c r="U396" s="1"/>
    </row>
    <row r="397" spans="14:21" ht="13">
      <c r="N397" s="11"/>
      <c r="S397" s="11"/>
      <c r="T397" s="12"/>
      <c r="U397" s="1"/>
    </row>
    <row r="398" spans="14:21" ht="13">
      <c r="N398" s="11"/>
      <c r="S398" s="11"/>
      <c r="T398" s="12"/>
      <c r="U398" s="1"/>
    </row>
    <row r="399" spans="14:21" ht="13">
      <c r="N399" s="11"/>
      <c r="S399" s="11"/>
      <c r="T399" s="12"/>
      <c r="U399" s="1"/>
    </row>
    <row r="400" spans="14:21" ht="13">
      <c r="N400" s="11"/>
      <c r="S400" s="11"/>
      <c r="T400" s="12"/>
      <c r="U400" s="1"/>
    </row>
    <row r="401" spans="14:21" ht="13">
      <c r="N401" s="11"/>
      <c r="S401" s="11"/>
      <c r="T401" s="12"/>
      <c r="U401" s="1"/>
    </row>
    <row r="402" spans="14:21" ht="13">
      <c r="N402" s="11"/>
      <c r="S402" s="11"/>
      <c r="T402" s="12"/>
      <c r="U402" s="1"/>
    </row>
    <row r="403" spans="14:21" ht="13">
      <c r="N403" s="11"/>
      <c r="S403" s="11"/>
      <c r="T403" s="12"/>
      <c r="U403" s="1"/>
    </row>
    <row r="404" spans="14:21" ht="13">
      <c r="N404" s="11"/>
      <c r="S404" s="11"/>
      <c r="T404" s="12"/>
      <c r="U404" s="1"/>
    </row>
    <row r="405" spans="14:21" ht="13">
      <c r="N405" s="11"/>
      <c r="S405" s="11"/>
      <c r="T405" s="12"/>
      <c r="U405" s="1"/>
    </row>
    <row r="406" spans="14:21" ht="13">
      <c r="N406" s="11"/>
      <c r="S406" s="11"/>
      <c r="T406" s="12"/>
      <c r="U406" s="1"/>
    </row>
    <row r="407" spans="14:21" ht="13">
      <c r="N407" s="11"/>
      <c r="S407" s="11"/>
      <c r="T407" s="12"/>
      <c r="U407" s="1"/>
    </row>
    <row r="408" spans="14:21" ht="13">
      <c r="N408" s="11"/>
      <c r="S408" s="11"/>
      <c r="T408" s="12"/>
      <c r="U408" s="1"/>
    </row>
    <row r="409" spans="14:21" ht="13">
      <c r="N409" s="11"/>
      <c r="S409" s="11"/>
      <c r="T409" s="12"/>
      <c r="U409" s="1"/>
    </row>
    <row r="410" spans="14:21" ht="13">
      <c r="N410" s="11"/>
      <c r="S410" s="11"/>
      <c r="T410" s="12"/>
      <c r="U410" s="1"/>
    </row>
    <row r="411" spans="14:21" ht="13">
      <c r="N411" s="11"/>
      <c r="S411" s="11"/>
      <c r="T411" s="12"/>
      <c r="U411" s="1"/>
    </row>
    <row r="412" spans="14:21" ht="13">
      <c r="N412" s="11"/>
      <c r="S412" s="11"/>
      <c r="T412" s="12"/>
      <c r="U412" s="1"/>
    </row>
    <row r="413" spans="14:21" ht="13">
      <c r="N413" s="11"/>
      <c r="S413" s="11"/>
      <c r="T413" s="12"/>
      <c r="U413" s="1"/>
    </row>
    <row r="414" spans="14:21" ht="13">
      <c r="N414" s="11"/>
      <c r="S414" s="11"/>
      <c r="T414" s="12"/>
      <c r="U414" s="1"/>
    </row>
    <row r="415" spans="14:21" ht="13">
      <c r="N415" s="11"/>
      <c r="S415" s="11"/>
      <c r="T415" s="12"/>
      <c r="U415" s="1"/>
    </row>
    <row r="416" spans="14:21" ht="13">
      <c r="N416" s="11"/>
      <c r="S416" s="11"/>
      <c r="T416" s="12"/>
      <c r="U416" s="1"/>
    </row>
    <row r="417" spans="14:21" ht="13">
      <c r="N417" s="11"/>
      <c r="S417" s="11"/>
      <c r="T417" s="12"/>
      <c r="U417" s="1"/>
    </row>
    <row r="418" spans="14:21" ht="13">
      <c r="N418" s="11"/>
      <c r="S418" s="11"/>
      <c r="T418" s="12"/>
      <c r="U418" s="1"/>
    </row>
    <row r="419" spans="14:21" ht="13">
      <c r="N419" s="11"/>
      <c r="S419" s="11"/>
      <c r="T419" s="12"/>
      <c r="U419" s="1"/>
    </row>
    <row r="420" spans="14:21" ht="13">
      <c r="N420" s="11"/>
      <c r="S420" s="11"/>
      <c r="T420" s="12"/>
      <c r="U420" s="1"/>
    </row>
    <row r="421" spans="14:21" ht="13">
      <c r="N421" s="11"/>
      <c r="S421" s="11"/>
      <c r="T421" s="12"/>
      <c r="U421" s="1"/>
    </row>
    <row r="422" spans="14:21" ht="13">
      <c r="N422" s="11"/>
      <c r="S422" s="11"/>
      <c r="T422" s="12"/>
      <c r="U422" s="1"/>
    </row>
    <row r="423" spans="14:21" ht="13">
      <c r="N423" s="11"/>
      <c r="S423" s="11"/>
      <c r="T423" s="12"/>
      <c r="U423" s="1"/>
    </row>
    <row r="424" spans="14:21" ht="13">
      <c r="N424" s="11"/>
      <c r="S424" s="11"/>
      <c r="T424" s="12"/>
      <c r="U424" s="1"/>
    </row>
    <row r="425" spans="14:21" ht="13">
      <c r="N425" s="11"/>
      <c r="S425" s="11"/>
      <c r="T425" s="12"/>
      <c r="U425" s="1"/>
    </row>
    <row r="426" spans="14:21" ht="13">
      <c r="N426" s="11"/>
      <c r="S426" s="11"/>
      <c r="T426" s="12"/>
      <c r="U426" s="1"/>
    </row>
    <row r="427" spans="14:21" ht="13">
      <c r="N427" s="11"/>
      <c r="S427" s="11"/>
      <c r="T427" s="12"/>
      <c r="U427" s="1"/>
    </row>
    <row r="428" spans="14:21" ht="13">
      <c r="N428" s="11"/>
      <c r="S428" s="11"/>
      <c r="T428" s="12"/>
      <c r="U428" s="1"/>
    </row>
    <row r="429" spans="14:21" ht="13">
      <c r="N429" s="11"/>
      <c r="S429" s="11"/>
      <c r="T429" s="12"/>
      <c r="U429" s="1"/>
    </row>
    <row r="430" spans="14:21" ht="13">
      <c r="N430" s="11"/>
      <c r="S430" s="11"/>
      <c r="T430" s="12"/>
      <c r="U430" s="1"/>
    </row>
    <row r="431" spans="14:21" ht="13">
      <c r="N431" s="11"/>
      <c r="S431" s="11"/>
      <c r="T431" s="12"/>
      <c r="U431" s="1"/>
    </row>
    <row r="432" spans="14:21" ht="13">
      <c r="N432" s="11"/>
      <c r="S432" s="11"/>
      <c r="T432" s="12"/>
      <c r="U432" s="1"/>
    </row>
    <row r="433" spans="14:21" ht="13">
      <c r="N433" s="11"/>
      <c r="S433" s="11"/>
      <c r="T433" s="12"/>
      <c r="U433" s="1"/>
    </row>
    <row r="434" spans="14:21" ht="13">
      <c r="N434" s="11"/>
      <c r="S434" s="11"/>
      <c r="T434" s="12"/>
      <c r="U434" s="1"/>
    </row>
    <row r="435" spans="14:21" ht="13">
      <c r="N435" s="11"/>
      <c r="S435" s="11"/>
      <c r="T435" s="12"/>
      <c r="U435" s="1"/>
    </row>
    <row r="436" spans="14:21" ht="13">
      <c r="N436" s="11"/>
      <c r="S436" s="11"/>
      <c r="T436" s="12"/>
      <c r="U436" s="1"/>
    </row>
    <row r="437" spans="14:21" ht="13">
      <c r="N437" s="11"/>
      <c r="S437" s="11"/>
      <c r="T437" s="12"/>
      <c r="U437" s="1"/>
    </row>
    <row r="438" spans="14:21" ht="13">
      <c r="N438" s="11"/>
      <c r="S438" s="11"/>
      <c r="T438" s="12"/>
      <c r="U438" s="1"/>
    </row>
    <row r="439" spans="14:21" ht="13">
      <c r="N439" s="11"/>
      <c r="S439" s="11"/>
      <c r="T439" s="12"/>
      <c r="U439" s="1"/>
    </row>
    <row r="440" spans="14:21" ht="13">
      <c r="N440" s="11"/>
      <c r="S440" s="11"/>
      <c r="T440" s="12"/>
      <c r="U440" s="1"/>
    </row>
    <row r="441" spans="14:21" ht="13">
      <c r="N441" s="11"/>
      <c r="S441" s="11"/>
      <c r="T441" s="12"/>
      <c r="U441" s="1"/>
    </row>
    <row r="442" spans="14:21" ht="13">
      <c r="N442" s="11"/>
      <c r="S442" s="11"/>
      <c r="T442" s="12"/>
      <c r="U442" s="1"/>
    </row>
    <row r="443" spans="14:21" ht="13">
      <c r="N443" s="11"/>
      <c r="S443" s="11"/>
      <c r="T443" s="12"/>
      <c r="U443" s="1"/>
    </row>
    <row r="444" spans="14:21" ht="13">
      <c r="N444" s="11"/>
      <c r="S444" s="11"/>
      <c r="T444" s="12"/>
      <c r="U444" s="1"/>
    </row>
    <row r="445" spans="14:21" ht="13">
      <c r="N445" s="11"/>
      <c r="S445" s="11"/>
      <c r="T445" s="12"/>
      <c r="U445" s="1"/>
    </row>
    <row r="446" spans="14:21" ht="13">
      <c r="N446" s="11"/>
      <c r="S446" s="11"/>
      <c r="T446" s="12"/>
      <c r="U446" s="1"/>
    </row>
    <row r="447" spans="14:21" ht="13">
      <c r="N447" s="11"/>
      <c r="S447" s="11"/>
      <c r="T447" s="12"/>
      <c r="U447" s="1"/>
    </row>
    <row r="448" spans="14:21" ht="13">
      <c r="N448" s="11"/>
      <c r="S448" s="11"/>
      <c r="T448" s="12"/>
      <c r="U448" s="1"/>
    </row>
    <row r="449" spans="14:21" ht="13">
      <c r="N449" s="11"/>
      <c r="S449" s="11"/>
      <c r="T449" s="12"/>
      <c r="U449" s="1"/>
    </row>
    <row r="450" spans="14:21" ht="13">
      <c r="N450" s="11"/>
      <c r="S450" s="11"/>
      <c r="T450" s="12"/>
      <c r="U450" s="1"/>
    </row>
    <row r="451" spans="14:21" ht="13">
      <c r="N451" s="11"/>
      <c r="S451" s="11"/>
      <c r="T451" s="12"/>
      <c r="U451" s="1"/>
    </row>
    <row r="452" spans="14:21" ht="13">
      <c r="N452" s="11"/>
      <c r="S452" s="11"/>
      <c r="T452" s="12"/>
      <c r="U452" s="1"/>
    </row>
    <row r="453" spans="14:21" ht="13">
      <c r="N453" s="11"/>
      <c r="S453" s="11"/>
      <c r="T453" s="12"/>
      <c r="U453" s="1"/>
    </row>
    <row r="454" spans="14:21" ht="13">
      <c r="N454" s="11"/>
      <c r="S454" s="11"/>
      <c r="T454" s="12"/>
      <c r="U454" s="1"/>
    </row>
    <row r="455" spans="14:21" ht="13">
      <c r="N455" s="11"/>
      <c r="S455" s="11"/>
      <c r="T455" s="12"/>
      <c r="U455" s="1"/>
    </row>
    <row r="456" spans="14:21" ht="13">
      <c r="N456" s="11"/>
      <c r="S456" s="11"/>
      <c r="T456" s="12"/>
      <c r="U456" s="1"/>
    </row>
    <row r="457" spans="14:21" ht="13">
      <c r="N457" s="11"/>
      <c r="S457" s="11"/>
      <c r="T457" s="12"/>
      <c r="U457" s="1"/>
    </row>
    <row r="458" spans="14:21" ht="13">
      <c r="N458" s="11"/>
      <c r="S458" s="11"/>
      <c r="T458" s="12"/>
      <c r="U458" s="1"/>
    </row>
    <row r="459" spans="14:21" ht="13">
      <c r="N459" s="11"/>
      <c r="S459" s="11"/>
      <c r="T459" s="12"/>
      <c r="U459" s="1"/>
    </row>
    <row r="460" spans="14:21" ht="13">
      <c r="N460" s="11"/>
      <c r="S460" s="11"/>
      <c r="T460" s="12"/>
      <c r="U460" s="1"/>
    </row>
    <row r="461" spans="14:21" ht="13">
      <c r="N461" s="11"/>
      <c r="S461" s="11"/>
      <c r="T461" s="12"/>
      <c r="U461" s="1"/>
    </row>
    <row r="462" spans="14:21" ht="13">
      <c r="N462" s="11"/>
      <c r="S462" s="11"/>
      <c r="T462" s="12"/>
      <c r="U462" s="1"/>
    </row>
    <row r="463" spans="14:21" ht="13">
      <c r="N463" s="11"/>
      <c r="S463" s="11"/>
      <c r="T463" s="12"/>
      <c r="U463" s="1"/>
    </row>
    <row r="464" spans="14:21" ht="13">
      <c r="N464" s="11"/>
      <c r="S464" s="11"/>
      <c r="T464" s="12"/>
      <c r="U464" s="1"/>
    </row>
    <row r="465" spans="14:21" ht="13">
      <c r="N465" s="11"/>
      <c r="S465" s="11"/>
      <c r="T465" s="12"/>
      <c r="U465" s="1"/>
    </row>
    <row r="466" spans="14:21" ht="13">
      <c r="N466" s="11"/>
      <c r="S466" s="11"/>
      <c r="T466" s="12"/>
      <c r="U466" s="1"/>
    </row>
    <row r="467" spans="14:21" ht="13">
      <c r="N467" s="11"/>
      <c r="S467" s="11"/>
      <c r="T467" s="12"/>
      <c r="U467" s="1"/>
    </row>
    <row r="468" spans="14:21" ht="13">
      <c r="N468" s="11"/>
      <c r="S468" s="11"/>
      <c r="T468" s="12"/>
      <c r="U468" s="1"/>
    </row>
    <row r="469" spans="14:21" ht="13">
      <c r="N469" s="11"/>
      <c r="S469" s="11"/>
      <c r="T469" s="12"/>
      <c r="U469" s="1"/>
    </row>
    <row r="470" spans="14:21" ht="13">
      <c r="N470" s="11"/>
      <c r="S470" s="11"/>
      <c r="T470" s="12"/>
      <c r="U470" s="1"/>
    </row>
    <row r="471" spans="14:21" ht="13">
      <c r="N471" s="11"/>
      <c r="S471" s="11"/>
      <c r="T471" s="12"/>
      <c r="U471" s="1"/>
    </row>
    <row r="472" spans="14:21" ht="13">
      <c r="N472" s="11"/>
      <c r="S472" s="11"/>
      <c r="T472" s="12"/>
      <c r="U472" s="1"/>
    </row>
    <row r="473" spans="14:21" ht="13">
      <c r="N473" s="11"/>
      <c r="S473" s="11"/>
      <c r="T473" s="12"/>
      <c r="U473" s="1"/>
    </row>
    <row r="474" spans="14:21" ht="13">
      <c r="N474" s="11"/>
      <c r="S474" s="11"/>
      <c r="T474" s="12"/>
      <c r="U474" s="1"/>
    </row>
    <row r="475" spans="14:21" ht="13">
      <c r="N475" s="11"/>
      <c r="S475" s="11"/>
      <c r="T475" s="12"/>
      <c r="U475" s="1"/>
    </row>
    <row r="476" spans="14:21" ht="13">
      <c r="N476" s="11"/>
      <c r="S476" s="11"/>
      <c r="T476" s="12"/>
      <c r="U476" s="1"/>
    </row>
    <row r="477" spans="14:21" ht="13">
      <c r="N477" s="11"/>
      <c r="S477" s="11"/>
      <c r="T477" s="12"/>
      <c r="U477" s="1"/>
    </row>
    <row r="478" spans="14:21" ht="13">
      <c r="N478" s="11"/>
      <c r="S478" s="11"/>
      <c r="T478" s="12"/>
      <c r="U478" s="1"/>
    </row>
    <row r="479" spans="14:21" ht="13">
      <c r="N479" s="11"/>
      <c r="S479" s="11"/>
      <c r="T479" s="12"/>
      <c r="U479" s="1"/>
    </row>
    <row r="480" spans="14:21" ht="13">
      <c r="N480" s="11"/>
      <c r="S480" s="11"/>
      <c r="T480" s="12"/>
      <c r="U480" s="1"/>
    </row>
    <row r="481" spans="14:21" ht="13">
      <c r="N481" s="11"/>
      <c r="S481" s="11"/>
      <c r="T481" s="12"/>
      <c r="U481" s="1"/>
    </row>
    <row r="482" spans="14:21" ht="13">
      <c r="N482" s="11"/>
      <c r="S482" s="11"/>
      <c r="T482" s="12"/>
      <c r="U482" s="1"/>
    </row>
    <row r="483" spans="14:21" ht="13">
      <c r="N483" s="11"/>
      <c r="S483" s="11"/>
      <c r="T483" s="12"/>
      <c r="U483" s="1"/>
    </row>
    <row r="484" spans="14:21" ht="13">
      <c r="N484" s="11"/>
      <c r="S484" s="11"/>
      <c r="T484" s="12"/>
      <c r="U484" s="1"/>
    </row>
    <row r="485" spans="14:21" ht="13">
      <c r="N485" s="11"/>
      <c r="S485" s="11"/>
      <c r="T485" s="12"/>
      <c r="U485" s="1"/>
    </row>
    <row r="486" spans="14:21" ht="13">
      <c r="N486" s="11"/>
      <c r="S486" s="11"/>
      <c r="T486" s="12"/>
      <c r="U486" s="1"/>
    </row>
    <row r="487" spans="14:21" ht="13">
      <c r="N487" s="11"/>
      <c r="S487" s="11"/>
      <c r="T487" s="12"/>
      <c r="U487" s="1"/>
    </row>
    <row r="488" spans="14:21" ht="13">
      <c r="N488" s="11"/>
      <c r="S488" s="11"/>
      <c r="T488" s="12"/>
      <c r="U488" s="1"/>
    </row>
    <row r="489" spans="14:21" ht="13">
      <c r="N489" s="11"/>
      <c r="S489" s="11"/>
      <c r="T489" s="12"/>
      <c r="U489" s="1"/>
    </row>
    <row r="490" spans="14:21" ht="13">
      <c r="N490" s="11"/>
      <c r="S490" s="11"/>
      <c r="T490" s="12"/>
      <c r="U490" s="1"/>
    </row>
    <row r="491" spans="14:21" ht="13">
      <c r="N491" s="11"/>
      <c r="S491" s="11"/>
      <c r="T491" s="12"/>
      <c r="U491" s="1"/>
    </row>
    <row r="492" spans="14:21" ht="13">
      <c r="N492" s="11"/>
      <c r="S492" s="11"/>
      <c r="T492" s="12"/>
      <c r="U492" s="1"/>
    </row>
    <row r="493" spans="14:21" ht="13">
      <c r="N493" s="11"/>
      <c r="S493" s="11"/>
      <c r="T493" s="12"/>
      <c r="U493" s="1"/>
    </row>
    <row r="494" spans="14:21" ht="13">
      <c r="N494" s="11"/>
      <c r="S494" s="11"/>
      <c r="T494" s="12"/>
      <c r="U494" s="1"/>
    </row>
    <row r="495" spans="14:21" ht="13">
      <c r="N495" s="11"/>
      <c r="S495" s="11"/>
      <c r="T495" s="12"/>
      <c r="U495" s="1"/>
    </row>
    <row r="496" spans="14:21" ht="13">
      <c r="N496" s="11"/>
      <c r="S496" s="11"/>
      <c r="T496" s="12"/>
      <c r="U496" s="1"/>
    </row>
    <row r="497" spans="14:21" ht="13">
      <c r="N497" s="11"/>
      <c r="S497" s="11"/>
      <c r="T497" s="12"/>
      <c r="U497" s="1"/>
    </row>
    <row r="498" spans="14:21" ht="13">
      <c r="N498" s="11"/>
      <c r="S498" s="11"/>
      <c r="T498" s="12"/>
      <c r="U498" s="1"/>
    </row>
    <row r="499" spans="14:21" ht="13">
      <c r="N499" s="11"/>
      <c r="S499" s="11"/>
      <c r="T499" s="12"/>
      <c r="U499" s="1"/>
    </row>
    <row r="500" spans="14:21" ht="13">
      <c r="N500" s="11"/>
      <c r="S500" s="11"/>
      <c r="T500" s="12"/>
      <c r="U500" s="1"/>
    </row>
    <row r="501" spans="14:21" ht="13">
      <c r="N501" s="11"/>
      <c r="S501" s="11"/>
      <c r="T501" s="12"/>
      <c r="U501" s="1"/>
    </row>
    <row r="502" spans="14:21" ht="13">
      <c r="N502" s="11"/>
      <c r="S502" s="11"/>
      <c r="T502" s="12"/>
      <c r="U502" s="1"/>
    </row>
    <row r="503" spans="14:21" ht="13">
      <c r="N503" s="11"/>
      <c r="S503" s="11"/>
      <c r="T503" s="12"/>
      <c r="U503" s="1"/>
    </row>
    <row r="504" spans="14:21" ht="13">
      <c r="N504" s="11"/>
      <c r="S504" s="11"/>
      <c r="T504" s="12"/>
      <c r="U504" s="1"/>
    </row>
    <row r="505" spans="14:21" ht="13">
      <c r="N505" s="11"/>
      <c r="S505" s="11"/>
      <c r="T505" s="12"/>
      <c r="U505" s="1"/>
    </row>
    <row r="506" spans="14:21" ht="13">
      <c r="N506" s="11"/>
      <c r="S506" s="11"/>
      <c r="T506" s="12"/>
      <c r="U506" s="1"/>
    </row>
    <row r="507" spans="14:21" ht="13">
      <c r="N507" s="11"/>
      <c r="S507" s="11"/>
      <c r="T507" s="12"/>
      <c r="U507" s="1"/>
    </row>
    <row r="508" spans="14:21" ht="13">
      <c r="N508" s="11"/>
      <c r="S508" s="11"/>
      <c r="T508" s="12"/>
      <c r="U508" s="1"/>
    </row>
    <row r="509" spans="14:21" ht="13">
      <c r="N509" s="11"/>
      <c r="S509" s="11"/>
      <c r="T509" s="12"/>
      <c r="U509" s="1"/>
    </row>
    <row r="510" spans="14:21" ht="13">
      <c r="N510" s="11"/>
      <c r="S510" s="11"/>
      <c r="T510" s="12"/>
      <c r="U510" s="1"/>
    </row>
    <row r="511" spans="14:21" ht="13">
      <c r="N511" s="11"/>
      <c r="S511" s="11"/>
      <c r="T511" s="12"/>
      <c r="U511" s="1"/>
    </row>
    <row r="512" spans="14:21" ht="13">
      <c r="N512" s="11"/>
      <c r="S512" s="11"/>
      <c r="T512" s="12"/>
      <c r="U512" s="1"/>
    </row>
    <row r="513" spans="14:21" ht="13">
      <c r="N513" s="11"/>
      <c r="S513" s="11"/>
      <c r="T513" s="12"/>
      <c r="U513" s="1"/>
    </row>
    <row r="514" spans="14:21" ht="13">
      <c r="N514" s="11"/>
      <c r="S514" s="11"/>
      <c r="T514" s="12"/>
      <c r="U514" s="1"/>
    </row>
    <row r="515" spans="14:21" ht="13">
      <c r="N515" s="11"/>
      <c r="S515" s="11"/>
      <c r="T515" s="12"/>
      <c r="U515" s="1"/>
    </row>
    <row r="516" spans="14:21" ht="13">
      <c r="N516" s="11"/>
      <c r="S516" s="11"/>
      <c r="T516" s="12"/>
      <c r="U516" s="1"/>
    </row>
    <row r="517" spans="14:21" ht="13">
      <c r="N517" s="11"/>
      <c r="S517" s="11"/>
      <c r="T517" s="12"/>
      <c r="U517" s="1"/>
    </row>
    <row r="518" spans="14:21" ht="13">
      <c r="N518" s="11"/>
      <c r="S518" s="11"/>
      <c r="T518" s="12"/>
      <c r="U518" s="1"/>
    </row>
    <row r="519" spans="14:21" ht="13">
      <c r="N519" s="11"/>
      <c r="S519" s="11"/>
      <c r="T519" s="12"/>
      <c r="U519" s="1"/>
    </row>
    <row r="520" spans="14:21" ht="13">
      <c r="N520" s="11"/>
      <c r="S520" s="11"/>
      <c r="T520" s="12"/>
      <c r="U520" s="1"/>
    </row>
    <row r="521" spans="14:21" ht="13">
      <c r="N521" s="11"/>
      <c r="S521" s="11"/>
      <c r="T521" s="12"/>
      <c r="U521" s="1"/>
    </row>
    <row r="522" spans="14:21" ht="13">
      <c r="N522" s="11"/>
      <c r="S522" s="11"/>
      <c r="T522" s="12"/>
      <c r="U522" s="1"/>
    </row>
    <row r="523" spans="14:21" ht="13">
      <c r="N523" s="11"/>
      <c r="S523" s="11"/>
      <c r="T523" s="12"/>
      <c r="U523" s="1"/>
    </row>
    <row r="524" spans="14:21" ht="13">
      <c r="N524" s="11"/>
      <c r="S524" s="11"/>
      <c r="T524" s="12"/>
      <c r="U524" s="1"/>
    </row>
    <row r="525" spans="14:21" ht="13">
      <c r="N525" s="11"/>
      <c r="S525" s="11"/>
      <c r="T525" s="12"/>
      <c r="U525" s="1"/>
    </row>
    <row r="526" spans="14:21" ht="13">
      <c r="N526" s="11"/>
      <c r="S526" s="11"/>
      <c r="T526" s="12"/>
      <c r="U526" s="1"/>
    </row>
    <row r="527" spans="14:21" ht="13">
      <c r="N527" s="11"/>
      <c r="S527" s="11"/>
      <c r="T527" s="12"/>
      <c r="U527" s="1"/>
    </row>
    <row r="528" spans="14:21" ht="13">
      <c r="N528" s="11"/>
      <c r="S528" s="11"/>
      <c r="T528" s="12"/>
      <c r="U528" s="1"/>
    </row>
    <row r="529" spans="14:21" ht="13">
      <c r="N529" s="11"/>
      <c r="S529" s="11"/>
      <c r="T529" s="12"/>
      <c r="U529" s="1"/>
    </row>
    <row r="530" spans="14:21" ht="13">
      <c r="N530" s="11"/>
      <c r="S530" s="11"/>
      <c r="T530" s="12"/>
      <c r="U530" s="1"/>
    </row>
    <row r="531" spans="14:21" ht="13">
      <c r="N531" s="11"/>
      <c r="S531" s="11"/>
      <c r="T531" s="12"/>
      <c r="U531" s="1"/>
    </row>
    <row r="532" spans="14:21" ht="13">
      <c r="N532" s="11"/>
      <c r="S532" s="11"/>
      <c r="T532" s="12"/>
      <c r="U532" s="1"/>
    </row>
    <row r="533" spans="14:21" ht="13">
      <c r="N533" s="11"/>
      <c r="S533" s="11"/>
      <c r="T533" s="12"/>
      <c r="U533" s="1"/>
    </row>
    <row r="534" spans="14:21" ht="13">
      <c r="N534" s="11"/>
      <c r="S534" s="11"/>
      <c r="T534" s="12"/>
      <c r="U534" s="1"/>
    </row>
    <row r="535" spans="14:21" ht="13">
      <c r="N535" s="11"/>
      <c r="S535" s="11"/>
      <c r="T535" s="12"/>
      <c r="U535" s="1"/>
    </row>
    <row r="536" spans="14:21" ht="13">
      <c r="N536" s="11"/>
      <c r="S536" s="11"/>
      <c r="T536" s="12"/>
      <c r="U536" s="1"/>
    </row>
    <row r="537" spans="14:21" ht="13">
      <c r="N537" s="11"/>
      <c r="S537" s="11"/>
      <c r="T537" s="12"/>
      <c r="U537" s="1"/>
    </row>
    <row r="538" spans="14:21" ht="13">
      <c r="N538" s="11"/>
      <c r="S538" s="11"/>
      <c r="T538" s="12"/>
      <c r="U538" s="1"/>
    </row>
    <row r="539" spans="14:21" ht="13">
      <c r="N539" s="11"/>
      <c r="S539" s="11"/>
      <c r="T539" s="12"/>
      <c r="U539" s="1"/>
    </row>
    <row r="540" spans="14:21" ht="13">
      <c r="N540" s="11"/>
      <c r="S540" s="11"/>
      <c r="T540" s="12"/>
      <c r="U540" s="1"/>
    </row>
    <row r="541" spans="14:21" ht="13">
      <c r="N541" s="11"/>
      <c r="S541" s="11"/>
      <c r="T541" s="12"/>
      <c r="U541" s="1"/>
    </row>
    <row r="542" spans="14:21" ht="13">
      <c r="N542" s="11"/>
      <c r="S542" s="11"/>
      <c r="T542" s="12"/>
      <c r="U542" s="1"/>
    </row>
    <row r="543" spans="14:21" ht="13">
      <c r="N543" s="11"/>
      <c r="S543" s="11"/>
      <c r="T543" s="12"/>
      <c r="U543" s="1"/>
    </row>
    <row r="544" spans="14:21" ht="13">
      <c r="N544" s="11"/>
      <c r="S544" s="11"/>
      <c r="T544" s="12"/>
      <c r="U544" s="1"/>
    </row>
    <row r="545" spans="14:21" ht="13">
      <c r="N545" s="11"/>
      <c r="S545" s="11"/>
      <c r="T545" s="12"/>
      <c r="U545" s="1"/>
    </row>
    <row r="546" spans="14:21" ht="13">
      <c r="N546" s="11"/>
      <c r="S546" s="11"/>
      <c r="T546" s="12"/>
      <c r="U546" s="1"/>
    </row>
    <row r="547" spans="14:21" ht="13">
      <c r="N547" s="11"/>
      <c r="S547" s="11"/>
      <c r="T547" s="12"/>
      <c r="U547" s="1"/>
    </row>
    <row r="548" spans="14:21" ht="13">
      <c r="N548" s="11"/>
      <c r="S548" s="11"/>
      <c r="T548" s="12"/>
      <c r="U548" s="1"/>
    </row>
    <row r="549" spans="14:21" ht="13">
      <c r="N549" s="11"/>
      <c r="S549" s="11"/>
      <c r="T549" s="12"/>
      <c r="U549" s="1"/>
    </row>
    <row r="550" spans="14:21" ht="13">
      <c r="N550" s="11"/>
      <c r="S550" s="11"/>
      <c r="T550" s="12"/>
      <c r="U550" s="1"/>
    </row>
    <row r="551" spans="14:21" ht="13">
      <c r="N551" s="11"/>
      <c r="S551" s="11"/>
      <c r="T551" s="12"/>
      <c r="U551" s="1"/>
    </row>
    <row r="552" spans="14:21" ht="13">
      <c r="N552" s="11"/>
      <c r="S552" s="11"/>
      <c r="T552" s="12"/>
      <c r="U552" s="1"/>
    </row>
    <row r="553" spans="14:21" ht="13">
      <c r="N553" s="11"/>
      <c r="S553" s="11"/>
      <c r="T553" s="12"/>
      <c r="U553" s="1"/>
    </row>
    <row r="554" spans="14:21" ht="13">
      <c r="N554" s="11"/>
      <c r="S554" s="11"/>
      <c r="T554" s="12"/>
      <c r="U554" s="1"/>
    </row>
    <row r="555" spans="14:21" ht="13">
      <c r="N555" s="11"/>
      <c r="S555" s="11"/>
      <c r="T555" s="12"/>
      <c r="U555" s="1"/>
    </row>
    <row r="556" spans="14:21" ht="13">
      <c r="N556" s="11"/>
      <c r="S556" s="11"/>
      <c r="T556" s="12"/>
      <c r="U556" s="1"/>
    </row>
    <row r="557" spans="14:21" ht="13">
      <c r="N557" s="11"/>
      <c r="S557" s="11"/>
      <c r="T557" s="12"/>
      <c r="U557" s="1"/>
    </row>
    <row r="558" spans="14:21" ht="13">
      <c r="N558" s="11"/>
      <c r="S558" s="11"/>
      <c r="T558" s="12"/>
      <c r="U558" s="1"/>
    </row>
    <row r="559" spans="14:21" ht="13">
      <c r="N559" s="11"/>
      <c r="S559" s="11"/>
      <c r="T559" s="12"/>
      <c r="U559" s="1"/>
    </row>
    <row r="560" spans="14:21" ht="13">
      <c r="N560" s="11"/>
      <c r="S560" s="11"/>
      <c r="T560" s="12"/>
      <c r="U560" s="1"/>
    </row>
    <row r="561" spans="14:21" ht="13">
      <c r="N561" s="11"/>
      <c r="S561" s="11"/>
      <c r="T561" s="12"/>
      <c r="U561" s="1"/>
    </row>
    <row r="562" spans="14:21" ht="13">
      <c r="N562" s="11"/>
      <c r="S562" s="11"/>
      <c r="T562" s="12"/>
      <c r="U562" s="1"/>
    </row>
    <row r="563" spans="14:21" ht="13">
      <c r="N563" s="11"/>
      <c r="S563" s="11"/>
      <c r="T563" s="12"/>
      <c r="U563" s="1"/>
    </row>
    <row r="564" spans="14:21" ht="13">
      <c r="N564" s="11"/>
      <c r="S564" s="11"/>
      <c r="T564" s="12"/>
      <c r="U564" s="1"/>
    </row>
    <row r="565" spans="14:21" ht="13">
      <c r="N565" s="11"/>
      <c r="S565" s="11"/>
      <c r="T565" s="12"/>
      <c r="U565" s="1"/>
    </row>
    <row r="566" spans="14:21" ht="13">
      <c r="N566" s="11"/>
      <c r="S566" s="11"/>
      <c r="T566" s="12"/>
      <c r="U566" s="1"/>
    </row>
    <row r="567" spans="14:21" ht="13">
      <c r="N567" s="11"/>
      <c r="S567" s="11"/>
      <c r="T567" s="12"/>
      <c r="U567" s="1"/>
    </row>
    <row r="568" spans="14:21" ht="13">
      <c r="N568" s="11"/>
      <c r="S568" s="11"/>
      <c r="T568" s="12"/>
      <c r="U568" s="1"/>
    </row>
    <row r="569" spans="14:21" ht="13">
      <c r="N569" s="11"/>
      <c r="S569" s="11"/>
      <c r="T569" s="12"/>
      <c r="U569" s="1"/>
    </row>
    <row r="570" spans="14:21" ht="13">
      <c r="N570" s="11"/>
      <c r="S570" s="11"/>
      <c r="T570" s="12"/>
      <c r="U570" s="1"/>
    </row>
    <row r="571" spans="14:21" ht="13">
      <c r="N571" s="11"/>
      <c r="S571" s="11"/>
      <c r="T571" s="12"/>
      <c r="U571" s="1"/>
    </row>
    <row r="572" spans="14:21" ht="13">
      <c r="N572" s="11"/>
      <c r="S572" s="11"/>
      <c r="T572" s="12"/>
      <c r="U572" s="1"/>
    </row>
    <row r="573" spans="14:21" ht="13">
      <c r="N573" s="11"/>
      <c r="S573" s="11"/>
      <c r="T573" s="12"/>
      <c r="U573" s="1"/>
    </row>
    <row r="574" spans="14:21" ht="13">
      <c r="N574" s="11"/>
      <c r="S574" s="11"/>
      <c r="T574" s="12"/>
      <c r="U574" s="1"/>
    </row>
    <row r="575" spans="14:21" ht="13">
      <c r="N575" s="11"/>
      <c r="S575" s="11"/>
      <c r="T575" s="12"/>
      <c r="U575" s="1"/>
    </row>
    <row r="576" spans="14:21" ht="13">
      <c r="N576" s="11"/>
      <c r="S576" s="11"/>
      <c r="T576" s="12"/>
      <c r="U576" s="1"/>
    </row>
    <row r="577" spans="14:21" ht="13">
      <c r="N577" s="11"/>
      <c r="S577" s="11"/>
      <c r="T577" s="12"/>
      <c r="U577" s="1"/>
    </row>
    <row r="578" spans="14:21" ht="13">
      <c r="N578" s="11"/>
      <c r="S578" s="11"/>
      <c r="T578" s="12"/>
      <c r="U578" s="1"/>
    </row>
    <row r="579" spans="14:21" ht="13">
      <c r="N579" s="11"/>
      <c r="S579" s="11"/>
      <c r="T579" s="12"/>
      <c r="U579" s="1"/>
    </row>
    <row r="580" spans="14:21" ht="13">
      <c r="N580" s="11"/>
      <c r="S580" s="11"/>
      <c r="T580" s="12"/>
      <c r="U580" s="1"/>
    </row>
    <row r="581" spans="14:21" ht="13">
      <c r="N581" s="11"/>
      <c r="S581" s="11"/>
      <c r="T581" s="12"/>
      <c r="U581" s="1"/>
    </row>
    <row r="582" spans="14:21" ht="13">
      <c r="N582" s="11"/>
      <c r="S582" s="11"/>
      <c r="T582" s="12"/>
      <c r="U582" s="1"/>
    </row>
    <row r="583" spans="14:21" ht="13">
      <c r="N583" s="11"/>
      <c r="S583" s="11"/>
      <c r="T583" s="12"/>
      <c r="U583" s="1"/>
    </row>
    <row r="584" spans="14:21" ht="13">
      <c r="N584" s="11"/>
      <c r="S584" s="11"/>
      <c r="T584" s="12"/>
      <c r="U584" s="1"/>
    </row>
    <row r="585" spans="14:21" ht="13">
      <c r="N585" s="11"/>
      <c r="S585" s="11"/>
      <c r="T585" s="12"/>
      <c r="U585" s="1"/>
    </row>
    <row r="586" spans="14:21" ht="13">
      <c r="N586" s="11"/>
      <c r="S586" s="11"/>
      <c r="T586" s="12"/>
      <c r="U586" s="1"/>
    </row>
    <row r="587" spans="14:21" ht="13">
      <c r="N587" s="11"/>
      <c r="S587" s="11"/>
      <c r="T587" s="12"/>
      <c r="U587" s="1"/>
    </row>
    <row r="588" spans="14:21" ht="13">
      <c r="N588" s="11"/>
      <c r="S588" s="11"/>
      <c r="T588" s="12"/>
      <c r="U588" s="1"/>
    </row>
    <row r="589" spans="14:21" ht="13">
      <c r="N589" s="11"/>
      <c r="S589" s="11"/>
      <c r="T589" s="12"/>
      <c r="U589" s="1"/>
    </row>
    <row r="590" spans="14:21" ht="13">
      <c r="N590" s="11"/>
      <c r="S590" s="11"/>
      <c r="T590" s="12"/>
      <c r="U590" s="1"/>
    </row>
    <row r="591" spans="14:21" ht="13">
      <c r="N591" s="11"/>
      <c r="S591" s="11"/>
      <c r="T591" s="12"/>
      <c r="U591" s="1"/>
    </row>
    <row r="592" spans="14:21" ht="13">
      <c r="N592" s="11"/>
      <c r="S592" s="11"/>
      <c r="T592" s="12"/>
      <c r="U592" s="1"/>
    </row>
    <row r="593" spans="14:21" ht="13">
      <c r="N593" s="11"/>
      <c r="S593" s="11"/>
      <c r="T593" s="12"/>
      <c r="U593" s="1"/>
    </row>
    <row r="594" spans="14:21" ht="13">
      <c r="N594" s="11"/>
      <c r="S594" s="11"/>
      <c r="T594" s="12"/>
      <c r="U594" s="1"/>
    </row>
    <row r="595" spans="14:21" ht="13">
      <c r="N595" s="11"/>
      <c r="S595" s="11"/>
      <c r="T595" s="12"/>
      <c r="U595" s="1"/>
    </row>
    <row r="596" spans="14:21" ht="13">
      <c r="N596" s="11"/>
      <c r="S596" s="11"/>
      <c r="T596" s="12"/>
      <c r="U596" s="1"/>
    </row>
    <row r="597" spans="14:21" ht="13">
      <c r="N597" s="11"/>
      <c r="S597" s="11"/>
      <c r="T597" s="12"/>
      <c r="U597" s="1"/>
    </row>
    <row r="598" spans="14:21" ht="13">
      <c r="N598" s="11"/>
      <c r="S598" s="11"/>
      <c r="T598" s="12"/>
      <c r="U598" s="1"/>
    </row>
    <row r="599" spans="14:21" ht="13">
      <c r="N599" s="11"/>
      <c r="S599" s="11"/>
      <c r="T599" s="12"/>
      <c r="U599" s="1"/>
    </row>
    <row r="600" spans="14:21" ht="13">
      <c r="N600" s="11"/>
      <c r="S600" s="11"/>
      <c r="T600" s="12"/>
      <c r="U600" s="1"/>
    </row>
    <row r="601" spans="14:21" ht="13">
      <c r="N601" s="11"/>
      <c r="S601" s="11"/>
      <c r="T601" s="12"/>
      <c r="U601" s="1"/>
    </row>
    <row r="602" spans="14:21" ht="13">
      <c r="N602" s="11"/>
      <c r="S602" s="11"/>
      <c r="T602" s="12"/>
      <c r="U602" s="1"/>
    </row>
    <row r="603" spans="14:21" ht="13">
      <c r="N603" s="11"/>
      <c r="S603" s="11"/>
      <c r="T603" s="12"/>
      <c r="U603" s="1"/>
    </row>
    <row r="604" spans="14:21" ht="13">
      <c r="N604" s="11"/>
      <c r="S604" s="11"/>
      <c r="T604" s="12"/>
      <c r="U604" s="1"/>
    </row>
    <row r="605" spans="14:21" ht="13">
      <c r="N605" s="11"/>
      <c r="S605" s="11"/>
      <c r="T605" s="12"/>
      <c r="U605" s="1"/>
    </row>
    <row r="606" spans="14:21" ht="13">
      <c r="N606" s="11"/>
      <c r="S606" s="11"/>
      <c r="T606" s="12"/>
      <c r="U606" s="1"/>
    </row>
    <row r="607" spans="14:21" ht="13">
      <c r="N607" s="11"/>
      <c r="S607" s="11"/>
      <c r="T607" s="12"/>
      <c r="U607" s="1"/>
    </row>
    <row r="608" spans="14:21" ht="13">
      <c r="N608" s="11"/>
      <c r="S608" s="11"/>
      <c r="T608" s="12"/>
      <c r="U608" s="1"/>
    </row>
    <row r="609" spans="14:21" ht="13">
      <c r="N609" s="11"/>
      <c r="S609" s="11"/>
      <c r="T609" s="12"/>
      <c r="U609" s="1"/>
    </row>
    <row r="610" spans="14:21" ht="13">
      <c r="N610" s="11"/>
      <c r="S610" s="11"/>
      <c r="T610" s="12"/>
      <c r="U610" s="1"/>
    </row>
    <row r="611" spans="14:21" ht="13">
      <c r="N611" s="11"/>
      <c r="S611" s="11"/>
      <c r="T611" s="12"/>
      <c r="U611" s="1"/>
    </row>
    <row r="612" spans="14:21" ht="13">
      <c r="N612" s="11"/>
      <c r="S612" s="11"/>
      <c r="T612" s="12"/>
      <c r="U612" s="1"/>
    </row>
    <row r="613" spans="14:21" ht="13">
      <c r="N613" s="11"/>
      <c r="S613" s="11"/>
      <c r="T613" s="12"/>
      <c r="U613" s="1"/>
    </row>
    <row r="614" spans="14:21" ht="13">
      <c r="N614" s="11"/>
      <c r="S614" s="11"/>
      <c r="T614" s="12"/>
      <c r="U614" s="1"/>
    </row>
    <row r="615" spans="14:21" ht="13">
      <c r="N615" s="11"/>
      <c r="S615" s="11"/>
      <c r="T615" s="12"/>
      <c r="U615" s="1"/>
    </row>
    <row r="616" spans="14:21" ht="13">
      <c r="N616" s="11"/>
      <c r="S616" s="11"/>
      <c r="T616" s="12"/>
      <c r="U616" s="1"/>
    </row>
    <row r="617" spans="14:21" ht="13">
      <c r="N617" s="11"/>
      <c r="S617" s="11"/>
      <c r="T617" s="12"/>
      <c r="U617" s="1"/>
    </row>
    <row r="618" spans="14:21" ht="13">
      <c r="N618" s="11"/>
      <c r="S618" s="11"/>
      <c r="T618" s="12"/>
      <c r="U618" s="1"/>
    </row>
    <row r="619" spans="14:21" ht="13">
      <c r="N619" s="11"/>
      <c r="S619" s="11"/>
      <c r="T619" s="12"/>
      <c r="U619" s="1"/>
    </row>
    <row r="620" spans="14:21" ht="13">
      <c r="N620" s="11"/>
      <c r="S620" s="11"/>
      <c r="T620" s="12"/>
      <c r="U620" s="1"/>
    </row>
    <row r="621" spans="14:21" ht="13">
      <c r="N621" s="11"/>
      <c r="S621" s="11"/>
      <c r="T621" s="12"/>
      <c r="U621" s="1"/>
    </row>
    <row r="622" spans="14:21" ht="13">
      <c r="N622" s="11"/>
      <c r="S622" s="11"/>
      <c r="T622" s="12"/>
      <c r="U622" s="1"/>
    </row>
    <row r="623" spans="14:21" ht="13">
      <c r="N623" s="11"/>
      <c r="S623" s="11"/>
      <c r="T623" s="12"/>
      <c r="U623" s="1"/>
    </row>
    <row r="624" spans="14:21" ht="13">
      <c r="N624" s="11"/>
      <c r="S624" s="11"/>
      <c r="T624" s="12"/>
      <c r="U624" s="1"/>
    </row>
    <row r="625" spans="14:21" ht="13">
      <c r="N625" s="11"/>
      <c r="S625" s="11"/>
      <c r="T625" s="12"/>
      <c r="U625" s="1"/>
    </row>
    <row r="626" spans="14:21" ht="13">
      <c r="N626" s="11"/>
      <c r="S626" s="11"/>
      <c r="T626" s="12"/>
      <c r="U626" s="1"/>
    </row>
    <row r="627" spans="14:21" ht="13">
      <c r="N627" s="11"/>
      <c r="S627" s="11"/>
      <c r="T627" s="12"/>
      <c r="U627" s="1"/>
    </row>
    <row r="628" spans="14:21" ht="13">
      <c r="N628" s="11"/>
      <c r="S628" s="11"/>
      <c r="T628" s="12"/>
      <c r="U628" s="1"/>
    </row>
    <row r="629" spans="14:21" ht="13">
      <c r="N629" s="11"/>
      <c r="S629" s="11"/>
      <c r="T629" s="12"/>
      <c r="U629" s="1"/>
    </row>
    <row r="630" spans="14:21" ht="13">
      <c r="N630" s="11"/>
      <c r="S630" s="11"/>
      <c r="T630" s="12"/>
      <c r="U630" s="1"/>
    </row>
    <row r="631" spans="14:21" ht="13">
      <c r="N631" s="11"/>
      <c r="S631" s="11"/>
      <c r="T631" s="12"/>
      <c r="U631" s="1"/>
    </row>
    <row r="632" spans="14:21" ht="13">
      <c r="N632" s="11"/>
      <c r="S632" s="11"/>
      <c r="T632" s="12"/>
      <c r="U632" s="1"/>
    </row>
    <row r="633" spans="14:21" ht="13">
      <c r="N633" s="11"/>
      <c r="S633" s="11"/>
      <c r="T633" s="12"/>
      <c r="U633" s="1"/>
    </row>
    <row r="634" spans="14:21" ht="13">
      <c r="N634" s="11"/>
      <c r="S634" s="11"/>
      <c r="T634" s="12"/>
      <c r="U634" s="1"/>
    </row>
    <row r="635" spans="14:21" ht="13">
      <c r="N635" s="11"/>
      <c r="S635" s="11"/>
      <c r="T635" s="12"/>
      <c r="U635" s="1"/>
    </row>
    <row r="636" spans="14:21" ht="13">
      <c r="N636" s="11"/>
      <c r="S636" s="11"/>
      <c r="T636" s="12"/>
      <c r="U636" s="1"/>
    </row>
    <row r="637" spans="14:21" ht="13">
      <c r="N637" s="11"/>
      <c r="S637" s="11"/>
      <c r="T637" s="12"/>
      <c r="U637" s="1"/>
    </row>
    <row r="638" spans="14:21" ht="13">
      <c r="N638" s="11"/>
      <c r="S638" s="11"/>
      <c r="T638" s="12"/>
      <c r="U638" s="1"/>
    </row>
    <row r="639" spans="14:21" ht="13">
      <c r="N639" s="11"/>
      <c r="S639" s="11"/>
      <c r="T639" s="12"/>
      <c r="U639" s="1"/>
    </row>
    <row r="640" spans="14:21" ht="13">
      <c r="N640" s="11"/>
      <c r="S640" s="11"/>
      <c r="T640" s="12"/>
      <c r="U640" s="1"/>
    </row>
    <row r="641" spans="14:21" ht="13">
      <c r="N641" s="11"/>
      <c r="S641" s="11"/>
      <c r="T641" s="12"/>
      <c r="U641" s="1"/>
    </row>
    <row r="642" spans="14:21" ht="13">
      <c r="N642" s="11"/>
      <c r="S642" s="11"/>
      <c r="T642" s="12"/>
      <c r="U642" s="1"/>
    </row>
    <row r="643" spans="14:21" ht="13">
      <c r="N643" s="11"/>
      <c r="S643" s="11"/>
      <c r="T643" s="12"/>
      <c r="U643" s="1"/>
    </row>
    <row r="644" spans="14:21" ht="13">
      <c r="N644" s="11"/>
      <c r="S644" s="11"/>
      <c r="T644" s="12"/>
      <c r="U644" s="1"/>
    </row>
    <row r="645" spans="14:21" ht="13">
      <c r="N645" s="11"/>
      <c r="S645" s="11"/>
      <c r="T645" s="12"/>
      <c r="U645" s="1"/>
    </row>
    <row r="646" spans="14:21" ht="13">
      <c r="N646" s="11"/>
      <c r="S646" s="11"/>
      <c r="T646" s="12"/>
      <c r="U646" s="1"/>
    </row>
    <row r="647" spans="14:21" ht="13">
      <c r="N647" s="11"/>
      <c r="S647" s="11"/>
      <c r="T647" s="12"/>
      <c r="U647" s="1"/>
    </row>
    <row r="648" spans="14:21" ht="13">
      <c r="N648" s="11"/>
      <c r="S648" s="11"/>
      <c r="T648" s="12"/>
      <c r="U648" s="1"/>
    </row>
    <row r="649" spans="14:21" ht="13">
      <c r="N649" s="11"/>
      <c r="S649" s="11"/>
      <c r="T649" s="12"/>
      <c r="U649" s="1"/>
    </row>
    <row r="650" spans="14:21" ht="13">
      <c r="N650" s="11"/>
      <c r="S650" s="11"/>
      <c r="T650" s="12"/>
      <c r="U650" s="1"/>
    </row>
    <row r="651" spans="14:21" ht="13">
      <c r="N651" s="11"/>
      <c r="S651" s="11"/>
      <c r="T651" s="12"/>
      <c r="U651" s="1"/>
    </row>
    <row r="652" spans="14:21" ht="13">
      <c r="N652" s="11"/>
      <c r="S652" s="11"/>
      <c r="T652" s="12"/>
      <c r="U652" s="1"/>
    </row>
    <row r="653" spans="14:21" ht="13">
      <c r="N653" s="11"/>
      <c r="S653" s="11"/>
      <c r="T653" s="12"/>
      <c r="U653" s="1"/>
    </row>
    <row r="654" spans="14:21" ht="13">
      <c r="N654" s="11"/>
      <c r="S654" s="11"/>
      <c r="T654" s="12"/>
      <c r="U654" s="1"/>
    </row>
    <row r="655" spans="14:21" ht="13">
      <c r="N655" s="11"/>
      <c r="S655" s="11"/>
      <c r="T655" s="12"/>
      <c r="U655" s="1"/>
    </row>
    <row r="656" spans="14:21" ht="13">
      <c r="N656" s="11"/>
      <c r="S656" s="11"/>
      <c r="T656" s="12"/>
      <c r="U656" s="1"/>
    </row>
    <row r="657" spans="14:21" ht="13">
      <c r="N657" s="11"/>
      <c r="S657" s="11"/>
      <c r="T657" s="12"/>
      <c r="U657" s="1"/>
    </row>
    <row r="658" spans="14:21" ht="13">
      <c r="N658" s="11"/>
      <c r="S658" s="11"/>
      <c r="T658" s="12"/>
      <c r="U658" s="1"/>
    </row>
    <row r="659" spans="14:21" ht="13">
      <c r="N659" s="11"/>
      <c r="S659" s="11"/>
      <c r="T659" s="12"/>
      <c r="U659" s="1"/>
    </row>
    <row r="660" spans="14:21" ht="13">
      <c r="N660" s="11"/>
      <c r="S660" s="11"/>
      <c r="T660" s="12"/>
      <c r="U660" s="1"/>
    </row>
    <row r="661" spans="14:21" ht="13">
      <c r="N661" s="11"/>
      <c r="S661" s="11"/>
      <c r="T661" s="12"/>
      <c r="U661" s="1"/>
    </row>
    <row r="662" spans="14:21" ht="13">
      <c r="N662" s="11"/>
      <c r="S662" s="11"/>
      <c r="T662" s="12"/>
      <c r="U662" s="1"/>
    </row>
    <row r="663" spans="14:21" ht="13">
      <c r="N663" s="11"/>
      <c r="S663" s="11"/>
      <c r="T663" s="12"/>
      <c r="U663" s="1"/>
    </row>
    <row r="664" spans="14:21" ht="13">
      <c r="N664" s="11"/>
      <c r="S664" s="11"/>
      <c r="T664" s="12"/>
      <c r="U664" s="1"/>
    </row>
    <row r="665" spans="14:21" ht="13">
      <c r="N665" s="11"/>
      <c r="S665" s="11"/>
      <c r="T665" s="12"/>
      <c r="U665" s="1"/>
    </row>
    <row r="666" spans="14:21" ht="13">
      <c r="N666" s="11"/>
      <c r="S666" s="11"/>
      <c r="T666" s="12"/>
      <c r="U666" s="1"/>
    </row>
    <row r="667" spans="14:21" ht="13">
      <c r="N667" s="11"/>
      <c r="S667" s="11"/>
      <c r="T667" s="12"/>
      <c r="U667" s="1"/>
    </row>
    <row r="668" spans="14:21" ht="13">
      <c r="N668" s="11"/>
      <c r="S668" s="11"/>
      <c r="T668" s="12"/>
      <c r="U668" s="1"/>
    </row>
    <row r="669" spans="14:21" ht="13">
      <c r="N669" s="11"/>
      <c r="S669" s="11"/>
      <c r="T669" s="12"/>
      <c r="U669" s="1"/>
    </row>
    <row r="670" spans="14:21" ht="13">
      <c r="N670" s="11"/>
      <c r="S670" s="11"/>
      <c r="T670" s="12"/>
      <c r="U670" s="1"/>
    </row>
    <row r="671" spans="14:21" ht="13">
      <c r="N671" s="11"/>
      <c r="S671" s="11"/>
      <c r="T671" s="12"/>
      <c r="U671" s="1"/>
    </row>
    <row r="672" spans="14:21" ht="13">
      <c r="N672" s="11"/>
      <c r="S672" s="11"/>
      <c r="T672" s="12"/>
      <c r="U672" s="1"/>
    </row>
    <row r="673" spans="14:21" ht="13">
      <c r="N673" s="11"/>
      <c r="S673" s="11"/>
      <c r="T673" s="12"/>
      <c r="U673" s="1"/>
    </row>
    <row r="674" spans="14:21" ht="13">
      <c r="N674" s="11"/>
      <c r="S674" s="11"/>
      <c r="T674" s="12"/>
      <c r="U674" s="1"/>
    </row>
    <row r="675" spans="14:21" ht="13">
      <c r="N675" s="11"/>
      <c r="S675" s="11"/>
      <c r="T675" s="12"/>
      <c r="U675" s="1"/>
    </row>
    <row r="676" spans="14:21" ht="13">
      <c r="N676" s="11"/>
      <c r="S676" s="11"/>
      <c r="T676" s="12"/>
      <c r="U676" s="1"/>
    </row>
    <row r="677" spans="14:21" ht="13">
      <c r="N677" s="11"/>
      <c r="S677" s="11"/>
      <c r="T677" s="12"/>
      <c r="U677" s="1"/>
    </row>
    <row r="678" spans="14:21" ht="13">
      <c r="N678" s="11"/>
      <c r="S678" s="11"/>
      <c r="T678" s="12"/>
      <c r="U678" s="1"/>
    </row>
    <row r="679" spans="14:21" ht="13">
      <c r="N679" s="11"/>
      <c r="S679" s="11"/>
      <c r="T679" s="12"/>
      <c r="U679" s="1"/>
    </row>
    <row r="680" spans="14:21" ht="13">
      <c r="N680" s="11"/>
      <c r="S680" s="11"/>
      <c r="T680" s="12"/>
      <c r="U680" s="1"/>
    </row>
    <row r="681" spans="14:21" ht="13">
      <c r="N681" s="11"/>
      <c r="S681" s="11"/>
      <c r="T681" s="12"/>
      <c r="U681" s="1"/>
    </row>
    <row r="682" spans="14:21" ht="13">
      <c r="N682" s="11"/>
      <c r="S682" s="11"/>
      <c r="T682" s="12"/>
      <c r="U682" s="1"/>
    </row>
    <row r="683" spans="14:21" ht="13">
      <c r="N683" s="11"/>
      <c r="S683" s="11"/>
      <c r="T683" s="12"/>
      <c r="U683" s="1"/>
    </row>
    <row r="684" spans="14:21" ht="13">
      <c r="N684" s="11"/>
      <c r="S684" s="11"/>
      <c r="T684" s="12"/>
      <c r="U684" s="1"/>
    </row>
    <row r="685" spans="14:21" ht="13">
      <c r="N685" s="11"/>
      <c r="S685" s="11"/>
      <c r="T685" s="12"/>
      <c r="U685" s="1"/>
    </row>
    <row r="686" spans="14:21" ht="13">
      <c r="N686" s="11"/>
      <c r="S686" s="11"/>
      <c r="T686" s="12"/>
      <c r="U686" s="1"/>
    </row>
    <row r="687" spans="14:21" ht="13">
      <c r="N687" s="11"/>
      <c r="S687" s="11"/>
      <c r="T687" s="12"/>
      <c r="U687" s="1"/>
    </row>
    <row r="688" spans="14:21" ht="13">
      <c r="N688" s="11"/>
      <c r="S688" s="11"/>
      <c r="T688" s="12"/>
      <c r="U688" s="1"/>
    </row>
    <row r="689" spans="14:21" ht="13">
      <c r="N689" s="11"/>
      <c r="S689" s="11"/>
      <c r="T689" s="12"/>
      <c r="U689" s="1"/>
    </row>
    <row r="690" spans="14:21" ht="13">
      <c r="N690" s="11"/>
      <c r="S690" s="11"/>
      <c r="T690" s="12"/>
      <c r="U690" s="1"/>
    </row>
    <row r="691" spans="14:21" ht="13">
      <c r="N691" s="11"/>
      <c r="S691" s="11"/>
      <c r="T691" s="12"/>
      <c r="U691" s="1"/>
    </row>
    <row r="692" spans="14:21" ht="13">
      <c r="N692" s="11"/>
      <c r="S692" s="11"/>
      <c r="T692" s="12"/>
      <c r="U692" s="1"/>
    </row>
    <row r="693" spans="14:21" ht="13">
      <c r="N693" s="11"/>
      <c r="S693" s="11"/>
      <c r="T693" s="12"/>
      <c r="U693" s="1"/>
    </row>
    <row r="694" spans="14:21" ht="13">
      <c r="N694" s="11"/>
      <c r="S694" s="11"/>
      <c r="T694" s="12"/>
      <c r="U694" s="1"/>
    </row>
    <row r="695" spans="14:21" ht="13">
      <c r="N695" s="11"/>
      <c r="S695" s="11"/>
      <c r="T695" s="12"/>
      <c r="U695" s="1"/>
    </row>
    <row r="696" spans="14:21" ht="13">
      <c r="N696" s="11"/>
      <c r="S696" s="11"/>
      <c r="T696" s="12"/>
      <c r="U696" s="1"/>
    </row>
    <row r="697" spans="14:21" ht="13">
      <c r="N697" s="11"/>
      <c r="S697" s="11"/>
      <c r="T697" s="12"/>
      <c r="U697" s="1"/>
    </row>
    <row r="698" spans="14:21" ht="13">
      <c r="N698" s="11"/>
      <c r="S698" s="11"/>
      <c r="T698" s="12"/>
      <c r="U698" s="1"/>
    </row>
    <row r="699" spans="14:21" ht="13">
      <c r="N699" s="11"/>
      <c r="S699" s="11"/>
      <c r="T699" s="12"/>
      <c r="U699" s="1"/>
    </row>
    <row r="700" spans="14:21" ht="13">
      <c r="N700" s="11"/>
      <c r="S700" s="11"/>
      <c r="T700" s="12"/>
      <c r="U700" s="1"/>
    </row>
    <row r="701" spans="14:21" ht="13">
      <c r="N701" s="11"/>
      <c r="S701" s="11"/>
      <c r="T701" s="12"/>
      <c r="U701" s="1"/>
    </row>
    <row r="702" spans="14:21" ht="13">
      <c r="N702" s="11"/>
      <c r="S702" s="11"/>
      <c r="T702" s="12"/>
      <c r="U702" s="1"/>
    </row>
    <row r="703" spans="14:21" ht="13">
      <c r="N703" s="11"/>
      <c r="S703" s="11"/>
      <c r="T703" s="12"/>
      <c r="U703" s="1"/>
    </row>
    <row r="704" spans="14:21" ht="13">
      <c r="N704" s="11"/>
      <c r="S704" s="11"/>
      <c r="T704" s="12"/>
      <c r="U704" s="1"/>
    </row>
    <row r="705" spans="14:21" ht="13">
      <c r="N705" s="11"/>
      <c r="S705" s="11"/>
      <c r="T705" s="12"/>
      <c r="U705" s="1"/>
    </row>
    <row r="706" spans="14:21" ht="13">
      <c r="N706" s="11"/>
      <c r="S706" s="11"/>
      <c r="T706" s="12"/>
      <c r="U706" s="1"/>
    </row>
    <row r="707" spans="14:21" ht="13">
      <c r="N707" s="11"/>
      <c r="S707" s="11"/>
      <c r="T707" s="12"/>
      <c r="U707" s="1"/>
    </row>
    <row r="708" spans="14:21" ht="13">
      <c r="N708" s="11"/>
      <c r="S708" s="11"/>
      <c r="T708" s="12"/>
      <c r="U708" s="1"/>
    </row>
    <row r="709" spans="14:21" ht="13">
      <c r="N709" s="11"/>
      <c r="S709" s="11"/>
      <c r="T709" s="12"/>
      <c r="U709" s="1"/>
    </row>
    <row r="710" spans="14:21" ht="13">
      <c r="N710" s="11"/>
      <c r="S710" s="11"/>
      <c r="T710" s="12"/>
      <c r="U710" s="1"/>
    </row>
    <row r="711" spans="14:21" ht="13">
      <c r="N711" s="11"/>
      <c r="S711" s="11"/>
      <c r="T711" s="12"/>
      <c r="U711" s="1"/>
    </row>
    <row r="712" spans="14:21" ht="13">
      <c r="N712" s="11"/>
      <c r="S712" s="11"/>
      <c r="T712" s="12"/>
      <c r="U712" s="1"/>
    </row>
    <row r="713" spans="14:21" ht="13">
      <c r="N713" s="11"/>
      <c r="S713" s="11"/>
      <c r="T713" s="12"/>
      <c r="U713" s="1"/>
    </row>
    <row r="714" spans="14:21" ht="13">
      <c r="N714" s="11"/>
      <c r="S714" s="11"/>
      <c r="T714" s="12"/>
      <c r="U714" s="1"/>
    </row>
    <row r="715" spans="14:21" ht="13">
      <c r="N715" s="11"/>
      <c r="S715" s="11"/>
      <c r="T715" s="12"/>
      <c r="U715" s="1"/>
    </row>
    <row r="716" spans="14:21" ht="13">
      <c r="N716" s="11"/>
      <c r="S716" s="11"/>
      <c r="T716" s="12"/>
      <c r="U716" s="1"/>
    </row>
    <row r="717" spans="14:21" ht="13">
      <c r="N717" s="11"/>
      <c r="S717" s="11"/>
      <c r="T717" s="12"/>
      <c r="U717" s="1"/>
    </row>
    <row r="718" spans="14:21" ht="13">
      <c r="N718" s="11"/>
      <c r="S718" s="11"/>
      <c r="T718" s="12"/>
      <c r="U718" s="1"/>
    </row>
    <row r="719" spans="14:21" ht="13">
      <c r="N719" s="11"/>
      <c r="S719" s="11"/>
      <c r="T719" s="12"/>
      <c r="U719" s="1"/>
    </row>
    <row r="720" spans="14:21" ht="13">
      <c r="N720" s="11"/>
      <c r="S720" s="11"/>
      <c r="T720" s="12"/>
      <c r="U720" s="1"/>
    </row>
    <row r="721" spans="14:21" ht="13">
      <c r="N721" s="11"/>
      <c r="S721" s="11"/>
      <c r="T721" s="12"/>
      <c r="U721" s="1"/>
    </row>
    <row r="722" spans="14:21" ht="13">
      <c r="N722" s="11"/>
      <c r="S722" s="11"/>
      <c r="T722" s="12"/>
      <c r="U722" s="1"/>
    </row>
    <row r="723" spans="14:21" ht="13">
      <c r="N723" s="11"/>
      <c r="S723" s="11"/>
      <c r="T723" s="12"/>
      <c r="U723" s="1"/>
    </row>
    <row r="724" spans="14:21" ht="13">
      <c r="N724" s="11"/>
      <c r="S724" s="11"/>
      <c r="T724" s="12"/>
      <c r="U724" s="1"/>
    </row>
    <row r="725" spans="14:21" ht="13">
      <c r="N725" s="11"/>
      <c r="S725" s="11"/>
      <c r="T725" s="12"/>
      <c r="U725" s="1"/>
    </row>
    <row r="726" spans="14:21" ht="13">
      <c r="N726" s="11"/>
      <c r="S726" s="11"/>
      <c r="T726" s="12"/>
      <c r="U726" s="1"/>
    </row>
    <row r="727" spans="14:21" ht="13">
      <c r="N727" s="11"/>
      <c r="S727" s="11"/>
      <c r="T727" s="12"/>
      <c r="U727" s="1"/>
    </row>
    <row r="728" spans="14:21" ht="13">
      <c r="N728" s="11"/>
      <c r="S728" s="11"/>
      <c r="T728" s="12"/>
      <c r="U728" s="1"/>
    </row>
    <row r="729" spans="14:21" ht="13">
      <c r="N729" s="11"/>
      <c r="S729" s="11"/>
      <c r="T729" s="12"/>
      <c r="U729" s="1"/>
    </row>
    <row r="730" spans="14:21" ht="13">
      <c r="N730" s="11"/>
      <c r="S730" s="11"/>
      <c r="T730" s="12"/>
      <c r="U730" s="1"/>
    </row>
    <row r="731" spans="14:21" ht="13">
      <c r="N731" s="11"/>
      <c r="S731" s="11"/>
      <c r="T731" s="12"/>
      <c r="U731" s="1"/>
    </row>
    <row r="732" spans="14:21" ht="13">
      <c r="N732" s="11"/>
      <c r="S732" s="11"/>
      <c r="T732" s="12"/>
      <c r="U732" s="1"/>
    </row>
    <row r="733" spans="14:21" ht="13">
      <c r="N733" s="11"/>
      <c r="S733" s="11"/>
      <c r="T733" s="12"/>
      <c r="U733" s="1"/>
    </row>
    <row r="734" spans="14:21" ht="13">
      <c r="N734" s="11"/>
      <c r="S734" s="11"/>
      <c r="T734" s="12"/>
      <c r="U734" s="1"/>
    </row>
    <row r="735" spans="14:21" ht="13">
      <c r="N735" s="11"/>
      <c r="S735" s="11"/>
      <c r="T735" s="12"/>
      <c r="U735" s="1"/>
    </row>
    <row r="736" spans="14:21" ht="13">
      <c r="N736" s="11"/>
      <c r="S736" s="11"/>
      <c r="T736" s="12"/>
      <c r="U736" s="1"/>
    </row>
    <row r="737" spans="14:21" ht="13">
      <c r="N737" s="11"/>
      <c r="S737" s="11"/>
      <c r="T737" s="12"/>
      <c r="U737" s="1"/>
    </row>
    <row r="738" spans="14:21" ht="13">
      <c r="N738" s="11"/>
      <c r="S738" s="11"/>
      <c r="T738" s="12"/>
      <c r="U738" s="1"/>
    </row>
    <row r="739" spans="14:21" ht="13">
      <c r="N739" s="11"/>
      <c r="S739" s="11"/>
      <c r="T739" s="12"/>
      <c r="U739" s="1"/>
    </row>
    <row r="740" spans="14:21" ht="13">
      <c r="N740" s="11"/>
      <c r="S740" s="11"/>
      <c r="T740" s="12"/>
      <c r="U740" s="1"/>
    </row>
    <row r="741" spans="14:21" ht="13">
      <c r="N741" s="11"/>
      <c r="S741" s="11"/>
      <c r="T741" s="12"/>
      <c r="U741" s="1"/>
    </row>
    <row r="742" spans="14:21" ht="13">
      <c r="N742" s="11"/>
      <c r="S742" s="11"/>
      <c r="T742" s="12"/>
      <c r="U742" s="1"/>
    </row>
    <row r="743" spans="14:21" ht="13">
      <c r="N743" s="11"/>
      <c r="S743" s="11"/>
      <c r="T743" s="12"/>
      <c r="U743" s="1"/>
    </row>
    <row r="744" spans="14:21" ht="13">
      <c r="N744" s="11"/>
      <c r="S744" s="11"/>
      <c r="T744" s="12"/>
      <c r="U744" s="1"/>
    </row>
    <row r="745" spans="14:21" ht="13">
      <c r="N745" s="11"/>
      <c r="S745" s="11"/>
      <c r="T745" s="12"/>
      <c r="U745" s="1"/>
    </row>
    <row r="746" spans="14:21" ht="13">
      <c r="N746" s="11"/>
      <c r="S746" s="11"/>
      <c r="T746" s="12"/>
      <c r="U746" s="1"/>
    </row>
    <row r="747" spans="14:21" ht="13">
      <c r="N747" s="11"/>
      <c r="S747" s="11"/>
      <c r="T747" s="12"/>
      <c r="U747" s="1"/>
    </row>
    <row r="748" spans="14:21" ht="13">
      <c r="N748" s="11"/>
      <c r="S748" s="11"/>
      <c r="T748" s="12"/>
      <c r="U748" s="1"/>
    </row>
    <row r="749" spans="14:21" ht="13">
      <c r="N749" s="11"/>
      <c r="S749" s="11"/>
      <c r="T749" s="12"/>
      <c r="U749" s="1"/>
    </row>
    <row r="750" spans="14:21" ht="13">
      <c r="N750" s="11"/>
      <c r="S750" s="11"/>
      <c r="T750" s="12"/>
      <c r="U750" s="1"/>
    </row>
    <row r="751" spans="14:21" ht="13">
      <c r="N751" s="11"/>
      <c r="S751" s="11"/>
      <c r="T751" s="12"/>
      <c r="U751" s="1"/>
    </row>
    <row r="752" spans="14:21" ht="13">
      <c r="N752" s="11"/>
      <c r="S752" s="11"/>
      <c r="T752" s="12"/>
      <c r="U752" s="1"/>
    </row>
    <row r="753" spans="14:21" ht="13">
      <c r="N753" s="11"/>
      <c r="S753" s="11"/>
      <c r="T753" s="12"/>
      <c r="U753" s="1"/>
    </row>
    <row r="754" spans="14:21" ht="13">
      <c r="N754" s="11"/>
      <c r="S754" s="11"/>
      <c r="T754" s="12"/>
      <c r="U754" s="1"/>
    </row>
    <row r="755" spans="14:21" ht="13">
      <c r="N755" s="11"/>
      <c r="S755" s="11"/>
      <c r="T755" s="12"/>
      <c r="U755" s="1"/>
    </row>
    <row r="756" spans="14:21" ht="13">
      <c r="N756" s="11"/>
      <c r="S756" s="11"/>
      <c r="T756" s="12"/>
      <c r="U756" s="1"/>
    </row>
    <row r="757" spans="14:21" ht="13">
      <c r="N757" s="11"/>
      <c r="S757" s="11"/>
      <c r="T757" s="12"/>
      <c r="U757" s="1"/>
    </row>
    <row r="758" spans="14:21" ht="13">
      <c r="N758" s="11"/>
      <c r="S758" s="11"/>
      <c r="T758" s="12"/>
      <c r="U758" s="1"/>
    </row>
    <row r="759" spans="14:21" ht="13">
      <c r="N759" s="11"/>
      <c r="S759" s="11"/>
      <c r="T759" s="12"/>
      <c r="U759" s="1"/>
    </row>
    <row r="760" spans="14:21" ht="13">
      <c r="N760" s="11"/>
      <c r="S760" s="11"/>
      <c r="T760" s="12"/>
      <c r="U760" s="1"/>
    </row>
    <row r="761" spans="14:21" ht="13">
      <c r="N761" s="11"/>
      <c r="S761" s="11"/>
      <c r="T761" s="12"/>
      <c r="U761" s="1"/>
    </row>
    <row r="762" spans="14:21" ht="13">
      <c r="N762" s="11"/>
      <c r="S762" s="11"/>
      <c r="T762" s="12"/>
      <c r="U762" s="1"/>
    </row>
    <row r="763" spans="14:21" ht="13">
      <c r="N763" s="11"/>
      <c r="S763" s="11"/>
      <c r="T763" s="12"/>
      <c r="U763" s="1"/>
    </row>
    <row r="764" spans="14:21" ht="13">
      <c r="N764" s="11"/>
      <c r="S764" s="11"/>
      <c r="T764" s="12"/>
      <c r="U764" s="1"/>
    </row>
    <row r="765" spans="14:21" ht="13">
      <c r="N765" s="11"/>
      <c r="S765" s="11"/>
      <c r="T765" s="12"/>
      <c r="U765" s="1"/>
    </row>
    <row r="766" spans="14:21" ht="13">
      <c r="N766" s="11"/>
      <c r="S766" s="11"/>
      <c r="T766" s="12"/>
      <c r="U766" s="1"/>
    </row>
    <row r="767" spans="14:21" ht="13">
      <c r="N767" s="11"/>
      <c r="S767" s="11"/>
      <c r="T767" s="12"/>
      <c r="U767" s="1"/>
    </row>
    <row r="768" spans="14:21" ht="13">
      <c r="N768" s="11"/>
      <c r="S768" s="11"/>
      <c r="T768" s="12"/>
      <c r="U768" s="1"/>
    </row>
    <row r="769" spans="14:21" ht="13">
      <c r="N769" s="11"/>
      <c r="S769" s="11"/>
      <c r="T769" s="12"/>
      <c r="U769" s="1"/>
    </row>
    <row r="770" spans="14:21" ht="13">
      <c r="N770" s="11"/>
      <c r="S770" s="11"/>
      <c r="T770" s="12"/>
      <c r="U770" s="1"/>
    </row>
    <row r="771" spans="14:21" ht="13">
      <c r="N771" s="11"/>
      <c r="S771" s="11"/>
      <c r="T771" s="12"/>
      <c r="U771" s="1"/>
    </row>
    <row r="772" spans="14:21" ht="13">
      <c r="N772" s="11"/>
      <c r="S772" s="11"/>
      <c r="T772" s="12"/>
      <c r="U772" s="1"/>
    </row>
    <row r="773" spans="14:21" ht="13">
      <c r="N773" s="11"/>
      <c r="S773" s="11"/>
      <c r="T773" s="12"/>
      <c r="U773" s="1"/>
    </row>
    <row r="774" spans="14:21" ht="13">
      <c r="N774" s="11"/>
      <c r="S774" s="11"/>
      <c r="T774" s="12"/>
      <c r="U774" s="1"/>
    </row>
    <row r="775" spans="14:21" ht="13">
      <c r="N775" s="11"/>
      <c r="S775" s="11"/>
      <c r="T775" s="12"/>
      <c r="U775" s="1"/>
    </row>
    <row r="776" spans="14:21" ht="13">
      <c r="N776" s="11"/>
      <c r="S776" s="11"/>
      <c r="T776" s="12"/>
      <c r="U776" s="1"/>
    </row>
    <row r="777" spans="14:21" ht="13">
      <c r="N777" s="11"/>
      <c r="S777" s="11"/>
      <c r="T777" s="12"/>
      <c r="U777" s="1"/>
    </row>
    <row r="778" spans="14:21" ht="13">
      <c r="N778" s="11"/>
      <c r="S778" s="11"/>
      <c r="T778" s="12"/>
      <c r="U778" s="1"/>
    </row>
    <row r="779" spans="14:21" ht="13">
      <c r="N779" s="11"/>
      <c r="S779" s="11"/>
      <c r="T779" s="12"/>
      <c r="U779" s="1"/>
    </row>
    <row r="780" spans="14:21" ht="13">
      <c r="N780" s="11"/>
      <c r="S780" s="11"/>
      <c r="T780" s="12"/>
      <c r="U780" s="1"/>
    </row>
    <row r="781" spans="14:21" ht="13">
      <c r="N781" s="11"/>
      <c r="S781" s="11"/>
      <c r="T781" s="12"/>
      <c r="U781" s="1"/>
    </row>
    <row r="782" spans="14:21" ht="13">
      <c r="N782" s="11"/>
      <c r="S782" s="11"/>
      <c r="T782" s="12"/>
      <c r="U782" s="1"/>
    </row>
    <row r="783" spans="14:21" ht="13">
      <c r="N783" s="11"/>
      <c r="S783" s="11"/>
      <c r="T783" s="12"/>
      <c r="U783" s="1"/>
    </row>
    <row r="784" spans="14:21" ht="13">
      <c r="N784" s="11"/>
      <c r="S784" s="11"/>
      <c r="T784" s="12"/>
      <c r="U784" s="1"/>
    </row>
    <row r="785" spans="14:21" ht="13">
      <c r="N785" s="11"/>
      <c r="S785" s="11"/>
      <c r="T785" s="12"/>
      <c r="U785" s="1"/>
    </row>
    <row r="786" spans="14:21" ht="13">
      <c r="N786" s="11"/>
      <c r="S786" s="11"/>
      <c r="T786" s="12"/>
      <c r="U786" s="1"/>
    </row>
    <row r="787" spans="14:21" ht="13">
      <c r="N787" s="11"/>
      <c r="S787" s="11"/>
      <c r="T787" s="12"/>
      <c r="U787" s="1"/>
    </row>
    <row r="788" spans="14:21" ht="13">
      <c r="N788" s="11"/>
      <c r="S788" s="11"/>
      <c r="T788" s="12"/>
      <c r="U788" s="1"/>
    </row>
    <row r="789" spans="14:21" ht="13">
      <c r="N789" s="11"/>
      <c r="S789" s="11"/>
      <c r="T789" s="12"/>
      <c r="U789" s="1"/>
    </row>
    <row r="790" spans="14:21" ht="13">
      <c r="N790" s="11"/>
      <c r="S790" s="11"/>
      <c r="T790" s="12"/>
      <c r="U790" s="1"/>
    </row>
    <row r="791" spans="14:21" ht="13">
      <c r="N791" s="11"/>
      <c r="S791" s="11"/>
      <c r="T791" s="12"/>
      <c r="U791" s="1"/>
    </row>
    <row r="792" spans="14:21" ht="13">
      <c r="N792" s="11"/>
      <c r="S792" s="11"/>
      <c r="T792" s="12"/>
      <c r="U792" s="1"/>
    </row>
    <row r="793" spans="14:21" ht="13">
      <c r="N793" s="11"/>
      <c r="S793" s="11"/>
      <c r="T793" s="12"/>
      <c r="U793" s="1"/>
    </row>
    <row r="794" spans="14:21" ht="13">
      <c r="N794" s="11"/>
      <c r="S794" s="11"/>
      <c r="T794" s="12"/>
      <c r="U794" s="1"/>
    </row>
    <row r="795" spans="14:21" ht="13">
      <c r="N795" s="11"/>
      <c r="S795" s="11"/>
      <c r="T795" s="12"/>
      <c r="U795" s="1"/>
    </row>
    <row r="796" spans="14:21" ht="13">
      <c r="N796" s="11"/>
      <c r="S796" s="11"/>
      <c r="T796" s="12"/>
      <c r="U796" s="1"/>
    </row>
    <row r="797" spans="14:21" ht="13">
      <c r="N797" s="11"/>
      <c r="S797" s="11"/>
      <c r="T797" s="12"/>
      <c r="U797" s="1"/>
    </row>
    <row r="798" spans="14:21" ht="13">
      <c r="N798" s="11"/>
      <c r="S798" s="11"/>
      <c r="T798" s="12"/>
      <c r="U798" s="1"/>
    </row>
    <row r="799" spans="14:21" ht="13">
      <c r="N799" s="11"/>
      <c r="S799" s="11"/>
      <c r="T799" s="12"/>
      <c r="U799" s="1"/>
    </row>
    <row r="800" spans="14:21" ht="13">
      <c r="N800" s="11"/>
      <c r="S800" s="11"/>
      <c r="T800" s="12"/>
      <c r="U800" s="1"/>
    </row>
    <row r="801" spans="14:21" ht="13">
      <c r="N801" s="11"/>
      <c r="S801" s="11"/>
      <c r="T801" s="12"/>
      <c r="U801" s="1"/>
    </row>
    <row r="802" spans="14:21" ht="13">
      <c r="N802" s="11"/>
      <c r="S802" s="11"/>
      <c r="T802" s="12"/>
      <c r="U802" s="1"/>
    </row>
    <row r="803" spans="14:21" ht="13">
      <c r="N803" s="11"/>
      <c r="S803" s="11"/>
      <c r="T803" s="12"/>
      <c r="U803" s="1"/>
    </row>
    <row r="804" spans="14:21" ht="13">
      <c r="N804" s="11"/>
      <c r="S804" s="11"/>
      <c r="T804" s="12"/>
      <c r="U804" s="1"/>
    </row>
    <row r="805" spans="14:21" ht="13">
      <c r="N805" s="11"/>
      <c r="S805" s="11"/>
      <c r="T805" s="12"/>
      <c r="U805" s="1"/>
    </row>
    <row r="806" spans="14:21" ht="13">
      <c r="N806" s="11"/>
      <c r="S806" s="11"/>
      <c r="T806" s="12"/>
      <c r="U806" s="1"/>
    </row>
    <row r="807" spans="14:21" ht="13">
      <c r="N807" s="11"/>
      <c r="S807" s="11"/>
      <c r="T807" s="12"/>
      <c r="U807" s="1"/>
    </row>
    <row r="808" spans="14:21" ht="13">
      <c r="N808" s="11"/>
      <c r="S808" s="11"/>
      <c r="T808" s="12"/>
      <c r="U808" s="1"/>
    </row>
    <row r="809" spans="14:21" ht="13">
      <c r="N809" s="11"/>
      <c r="S809" s="11"/>
      <c r="T809" s="12"/>
      <c r="U809" s="1"/>
    </row>
    <row r="810" spans="14:21" ht="13">
      <c r="N810" s="11"/>
      <c r="S810" s="11"/>
      <c r="T810" s="12"/>
      <c r="U810" s="1"/>
    </row>
    <row r="811" spans="14:21" ht="13">
      <c r="N811" s="11"/>
      <c r="S811" s="11"/>
      <c r="T811" s="12"/>
      <c r="U811" s="1"/>
    </row>
    <row r="812" spans="14:21" ht="13">
      <c r="N812" s="11"/>
      <c r="S812" s="11"/>
      <c r="T812" s="12"/>
      <c r="U812" s="1"/>
    </row>
    <row r="813" spans="14:21" ht="13">
      <c r="N813" s="11"/>
      <c r="S813" s="11"/>
      <c r="T813" s="12"/>
      <c r="U813" s="1"/>
    </row>
    <row r="814" spans="14:21" ht="13">
      <c r="N814" s="11"/>
      <c r="S814" s="11"/>
      <c r="T814" s="12"/>
      <c r="U814" s="1"/>
    </row>
    <row r="815" spans="14:21" ht="13">
      <c r="N815" s="11"/>
      <c r="S815" s="11"/>
      <c r="T815" s="12"/>
      <c r="U815" s="1"/>
    </row>
    <row r="816" spans="14:21" ht="13">
      <c r="N816" s="11"/>
      <c r="S816" s="11"/>
      <c r="T816" s="12"/>
      <c r="U816" s="1"/>
    </row>
    <row r="817" spans="14:21" ht="13">
      <c r="N817" s="11"/>
      <c r="S817" s="11"/>
      <c r="T817" s="12"/>
      <c r="U817" s="1"/>
    </row>
    <row r="818" spans="14:21" ht="13">
      <c r="N818" s="11"/>
      <c r="S818" s="11"/>
      <c r="T818" s="12"/>
      <c r="U818" s="1"/>
    </row>
    <row r="819" spans="14:21" ht="13">
      <c r="N819" s="11"/>
      <c r="S819" s="11"/>
      <c r="T819" s="12"/>
      <c r="U819" s="1"/>
    </row>
    <row r="820" spans="14:21" ht="13">
      <c r="N820" s="11"/>
      <c r="S820" s="11"/>
      <c r="T820" s="12"/>
      <c r="U820" s="1"/>
    </row>
    <row r="821" spans="14:21" ht="13">
      <c r="N821" s="11"/>
      <c r="S821" s="11"/>
      <c r="T821" s="12"/>
      <c r="U821" s="1"/>
    </row>
    <row r="822" spans="14:21" ht="13">
      <c r="N822" s="11"/>
      <c r="S822" s="11"/>
      <c r="T822" s="12"/>
      <c r="U822" s="1"/>
    </row>
    <row r="823" spans="14:21" ht="13">
      <c r="N823" s="11"/>
      <c r="S823" s="11"/>
      <c r="T823" s="12"/>
      <c r="U823" s="1"/>
    </row>
    <row r="824" spans="14:21" ht="13">
      <c r="N824" s="11"/>
      <c r="S824" s="11"/>
      <c r="T824" s="12"/>
      <c r="U824" s="1"/>
    </row>
    <row r="825" spans="14:21" ht="13">
      <c r="N825" s="11"/>
      <c r="S825" s="11"/>
      <c r="T825" s="12"/>
      <c r="U825" s="1"/>
    </row>
    <row r="826" spans="14:21" ht="13">
      <c r="N826" s="11"/>
      <c r="S826" s="11"/>
      <c r="T826" s="12"/>
      <c r="U826" s="1"/>
    </row>
    <row r="827" spans="14:21" ht="13">
      <c r="N827" s="11"/>
      <c r="S827" s="11"/>
      <c r="T827" s="12"/>
      <c r="U827" s="1"/>
    </row>
    <row r="828" spans="14:21" ht="13">
      <c r="N828" s="11"/>
      <c r="S828" s="11"/>
      <c r="T828" s="12"/>
      <c r="U828" s="1"/>
    </row>
    <row r="829" spans="14:21" ht="13">
      <c r="N829" s="11"/>
      <c r="S829" s="11"/>
      <c r="T829" s="12"/>
      <c r="U829" s="1"/>
    </row>
    <row r="830" spans="14:21" ht="13">
      <c r="N830" s="11"/>
      <c r="S830" s="11"/>
      <c r="T830" s="12"/>
      <c r="U830" s="1"/>
    </row>
    <row r="831" spans="14:21" ht="13">
      <c r="N831" s="11"/>
      <c r="S831" s="11"/>
      <c r="T831" s="12"/>
      <c r="U831" s="1"/>
    </row>
    <row r="832" spans="14:21" ht="13">
      <c r="N832" s="11"/>
      <c r="S832" s="11"/>
      <c r="T832" s="12"/>
      <c r="U832" s="1"/>
    </row>
    <row r="833" spans="14:21" ht="13">
      <c r="N833" s="11"/>
      <c r="S833" s="11"/>
      <c r="T833" s="12"/>
      <c r="U833" s="1"/>
    </row>
    <row r="834" spans="14:21" ht="13">
      <c r="N834" s="11"/>
      <c r="S834" s="11"/>
      <c r="T834" s="12"/>
      <c r="U834" s="1"/>
    </row>
    <row r="835" spans="14:21" ht="13">
      <c r="N835" s="11"/>
      <c r="S835" s="11"/>
      <c r="T835" s="12"/>
      <c r="U835" s="1"/>
    </row>
    <row r="836" spans="14:21" ht="13">
      <c r="N836" s="11"/>
      <c r="S836" s="11"/>
      <c r="T836" s="12"/>
      <c r="U836" s="1"/>
    </row>
    <row r="837" spans="14:21" ht="13">
      <c r="N837" s="11"/>
      <c r="S837" s="11"/>
      <c r="T837" s="12"/>
      <c r="U837" s="1"/>
    </row>
    <row r="838" spans="14:21" ht="13">
      <c r="N838" s="11"/>
      <c r="S838" s="11"/>
      <c r="T838" s="12"/>
      <c r="U838" s="1"/>
    </row>
    <row r="839" spans="14:21" ht="13">
      <c r="N839" s="11"/>
      <c r="S839" s="11"/>
      <c r="T839" s="12"/>
      <c r="U839" s="1"/>
    </row>
    <row r="840" spans="14:21" ht="13">
      <c r="N840" s="11"/>
      <c r="S840" s="11"/>
      <c r="T840" s="12"/>
      <c r="U840" s="1"/>
    </row>
    <row r="841" spans="14:21" ht="13">
      <c r="N841" s="11"/>
      <c r="S841" s="11"/>
      <c r="T841" s="12"/>
      <c r="U841" s="1"/>
    </row>
    <row r="842" spans="14:21" ht="13">
      <c r="N842" s="11"/>
      <c r="S842" s="11"/>
      <c r="T842" s="12"/>
      <c r="U842" s="1"/>
    </row>
    <row r="843" spans="14:21" ht="13">
      <c r="N843" s="11"/>
      <c r="S843" s="11"/>
      <c r="T843" s="12"/>
      <c r="U843" s="1"/>
    </row>
    <row r="844" spans="14:21" ht="13">
      <c r="N844" s="11"/>
      <c r="S844" s="11"/>
      <c r="T844" s="12"/>
      <c r="U844" s="1"/>
    </row>
    <row r="845" spans="14:21" ht="13">
      <c r="N845" s="11"/>
      <c r="S845" s="11"/>
      <c r="T845" s="12"/>
      <c r="U845" s="1"/>
    </row>
    <row r="846" spans="14:21" ht="13">
      <c r="N846" s="11"/>
      <c r="S846" s="11"/>
      <c r="T846" s="12"/>
      <c r="U846" s="1"/>
    </row>
    <row r="847" spans="14:21" ht="13">
      <c r="N847" s="11"/>
      <c r="S847" s="11"/>
      <c r="T847" s="12"/>
      <c r="U847" s="1"/>
    </row>
    <row r="848" spans="14:21" ht="13">
      <c r="N848" s="11"/>
      <c r="S848" s="11"/>
      <c r="T848" s="12"/>
      <c r="U848" s="1"/>
    </row>
    <row r="849" spans="14:21" ht="13">
      <c r="N849" s="11"/>
      <c r="S849" s="11"/>
      <c r="T849" s="12"/>
      <c r="U849" s="1"/>
    </row>
    <row r="850" spans="14:21" ht="13">
      <c r="N850" s="11"/>
      <c r="S850" s="11"/>
      <c r="T850" s="12"/>
      <c r="U850" s="1"/>
    </row>
    <row r="851" spans="14:21" ht="13">
      <c r="N851" s="11"/>
      <c r="S851" s="11"/>
      <c r="T851" s="12"/>
      <c r="U851" s="1"/>
    </row>
    <row r="852" spans="14:21" ht="13">
      <c r="N852" s="11"/>
      <c r="S852" s="11"/>
      <c r="T852" s="12"/>
      <c r="U852" s="1"/>
    </row>
    <row r="853" spans="14:21" ht="13">
      <c r="N853" s="11"/>
      <c r="S853" s="11"/>
      <c r="T853" s="12"/>
      <c r="U853" s="1"/>
    </row>
    <row r="854" spans="14:21" ht="13">
      <c r="N854" s="11"/>
      <c r="S854" s="11"/>
      <c r="T854" s="12"/>
      <c r="U854" s="1"/>
    </row>
    <row r="855" spans="14:21" ht="13">
      <c r="N855" s="11"/>
      <c r="S855" s="11"/>
      <c r="T855" s="12"/>
      <c r="U855" s="1"/>
    </row>
    <row r="856" spans="14:21" ht="13">
      <c r="N856" s="11"/>
      <c r="S856" s="11"/>
      <c r="T856" s="12"/>
      <c r="U856" s="1"/>
    </row>
    <row r="857" spans="14:21" ht="13">
      <c r="N857" s="11"/>
      <c r="S857" s="11"/>
      <c r="T857" s="12"/>
      <c r="U857" s="1"/>
    </row>
    <row r="858" spans="14:21" ht="13">
      <c r="N858" s="11"/>
      <c r="S858" s="11"/>
      <c r="T858" s="12"/>
      <c r="U858" s="1"/>
    </row>
    <row r="859" spans="14:21" ht="13">
      <c r="N859" s="11"/>
      <c r="S859" s="11"/>
      <c r="T859" s="12"/>
      <c r="U859" s="1"/>
    </row>
    <row r="860" spans="14:21" ht="13">
      <c r="N860" s="11"/>
      <c r="S860" s="11"/>
      <c r="T860" s="12"/>
      <c r="U860" s="1"/>
    </row>
    <row r="861" spans="14:21" ht="13">
      <c r="N861" s="11"/>
      <c r="S861" s="11"/>
      <c r="T861" s="12"/>
      <c r="U861" s="1"/>
    </row>
    <row r="862" spans="14:21" ht="13">
      <c r="N862" s="11"/>
      <c r="S862" s="11"/>
      <c r="T862" s="12"/>
      <c r="U862" s="1"/>
    </row>
    <row r="863" spans="14:21" ht="13">
      <c r="N863" s="11"/>
      <c r="S863" s="11"/>
      <c r="T863" s="12"/>
      <c r="U863" s="1"/>
    </row>
    <row r="864" spans="14:21" ht="13">
      <c r="N864" s="11"/>
      <c r="S864" s="11"/>
      <c r="T864" s="12"/>
      <c r="U864" s="1"/>
    </row>
    <row r="865" spans="14:21" ht="13">
      <c r="N865" s="11"/>
      <c r="S865" s="11"/>
      <c r="T865" s="12"/>
      <c r="U865" s="1"/>
    </row>
    <row r="866" spans="14:21" ht="13">
      <c r="N866" s="11"/>
      <c r="S866" s="11"/>
      <c r="T866" s="12"/>
      <c r="U866" s="1"/>
    </row>
    <row r="867" spans="14:21" ht="13">
      <c r="N867" s="11"/>
      <c r="S867" s="11"/>
      <c r="T867" s="12"/>
      <c r="U867" s="1"/>
    </row>
    <row r="868" spans="14:21" ht="13">
      <c r="N868" s="11"/>
      <c r="S868" s="11"/>
      <c r="T868" s="12"/>
      <c r="U868" s="1"/>
    </row>
    <row r="869" spans="14:21" ht="13">
      <c r="N869" s="11"/>
      <c r="S869" s="11"/>
      <c r="T869" s="12"/>
      <c r="U869" s="1"/>
    </row>
    <row r="870" spans="14:21" ht="13">
      <c r="N870" s="11"/>
      <c r="S870" s="11"/>
      <c r="T870" s="12"/>
      <c r="U870" s="1"/>
    </row>
    <row r="871" spans="14:21" ht="13">
      <c r="N871" s="11"/>
      <c r="S871" s="11"/>
      <c r="T871" s="12"/>
      <c r="U871" s="1"/>
    </row>
    <row r="872" spans="14:21" ht="13">
      <c r="N872" s="11"/>
      <c r="S872" s="11"/>
      <c r="T872" s="12"/>
      <c r="U872" s="1"/>
    </row>
    <row r="873" spans="14:21" ht="13">
      <c r="N873" s="11"/>
      <c r="S873" s="11"/>
      <c r="T873" s="12"/>
      <c r="U873" s="1"/>
    </row>
    <row r="874" spans="14:21" ht="13">
      <c r="N874" s="11"/>
      <c r="S874" s="11"/>
      <c r="T874" s="12"/>
      <c r="U874" s="1"/>
    </row>
    <row r="875" spans="14:21" ht="13">
      <c r="N875" s="11"/>
      <c r="S875" s="11"/>
      <c r="T875" s="12"/>
      <c r="U875" s="1"/>
    </row>
    <row r="876" spans="14:21" ht="13">
      <c r="N876" s="11"/>
      <c r="S876" s="11"/>
      <c r="T876" s="12"/>
      <c r="U876" s="1"/>
    </row>
    <row r="877" spans="14:21" ht="13">
      <c r="N877" s="11"/>
      <c r="S877" s="11"/>
      <c r="T877" s="12"/>
      <c r="U877" s="1"/>
    </row>
    <row r="878" spans="14:21" ht="13">
      <c r="N878" s="11"/>
      <c r="S878" s="11"/>
      <c r="T878" s="12"/>
      <c r="U878" s="1"/>
    </row>
    <row r="879" spans="14:21" ht="13">
      <c r="N879" s="11"/>
      <c r="S879" s="11"/>
      <c r="T879" s="12"/>
      <c r="U879" s="1"/>
    </row>
    <row r="880" spans="14:21" ht="13">
      <c r="N880" s="11"/>
      <c r="S880" s="11"/>
      <c r="T880" s="12"/>
      <c r="U880" s="1"/>
    </row>
    <row r="881" spans="14:21" ht="13">
      <c r="N881" s="11"/>
      <c r="S881" s="11"/>
      <c r="T881" s="12"/>
      <c r="U881" s="1"/>
    </row>
    <row r="882" spans="14:21" ht="13">
      <c r="N882" s="11"/>
      <c r="S882" s="11"/>
      <c r="T882" s="12"/>
      <c r="U882" s="1"/>
    </row>
    <row r="883" spans="14:21" ht="13">
      <c r="N883" s="11"/>
      <c r="S883" s="11"/>
      <c r="T883" s="12"/>
      <c r="U883" s="1"/>
    </row>
    <row r="884" spans="14:21" ht="13">
      <c r="N884" s="11"/>
      <c r="S884" s="11"/>
      <c r="T884" s="12"/>
      <c r="U884" s="1"/>
    </row>
    <row r="885" spans="14:21" ht="13">
      <c r="N885" s="11"/>
      <c r="S885" s="11"/>
      <c r="T885" s="12"/>
      <c r="U885" s="1"/>
    </row>
    <row r="886" spans="14:21" ht="13">
      <c r="N886" s="11"/>
      <c r="S886" s="11"/>
      <c r="T886" s="12"/>
      <c r="U886" s="1"/>
    </row>
    <row r="887" spans="14:21" ht="13">
      <c r="N887" s="11"/>
      <c r="S887" s="11"/>
      <c r="T887" s="12"/>
      <c r="U887" s="1"/>
    </row>
    <row r="888" spans="14:21" ht="13">
      <c r="N888" s="11"/>
      <c r="S888" s="11"/>
      <c r="T888" s="12"/>
      <c r="U888" s="1"/>
    </row>
    <row r="889" spans="14:21" ht="13">
      <c r="N889" s="11"/>
      <c r="S889" s="11"/>
      <c r="T889" s="12"/>
      <c r="U889" s="1"/>
    </row>
    <row r="890" spans="14:21" ht="13">
      <c r="N890" s="11"/>
      <c r="S890" s="11"/>
      <c r="T890" s="12"/>
      <c r="U890" s="1"/>
    </row>
    <row r="891" spans="14:21" ht="13">
      <c r="N891" s="11"/>
      <c r="S891" s="11"/>
      <c r="T891" s="12"/>
      <c r="U891" s="1"/>
    </row>
    <row r="892" spans="14:21" ht="13">
      <c r="N892" s="11"/>
      <c r="S892" s="11"/>
      <c r="T892" s="12"/>
      <c r="U892" s="1"/>
    </row>
    <row r="893" spans="14:21" ht="13">
      <c r="N893" s="11"/>
      <c r="S893" s="11"/>
      <c r="T893" s="12"/>
      <c r="U893" s="1"/>
    </row>
    <row r="894" spans="14:21" ht="13">
      <c r="N894" s="11"/>
      <c r="S894" s="11"/>
      <c r="T894" s="12"/>
      <c r="U894" s="1"/>
    </row>
    <row r="895" spans="14:21" ht="13">
      <c r="N895" s="11"/>
      <c r="S895" s="11"/>
      <c r="T895" s="12"/>
      <c r="U895" s="1"/>
    </row>
    <row r="896" spans="14:21" ht="13">
      <c r="N896" s="11"/>
      <c r="S896" s="11"/>
      <c r="T896" s="12"/>
      <c r="U896" s="1"/>
    </row>
    <row r="897" spans="14:21" ht="13">
      <c r="N897" s="11"/>
      <c r="S897" s="11"/>
      <c r="T897" s="12"/>
      <c r="U897" s="1"/>
    </row>
    <row r="898" spans="14:21" ht="13">
      <c r="N898" s="11"/>
      <c r="S898" s="11"/>
      <c r="T898" s="12"/>
      <c r="U898" s="1"/>
    </row>
    <row r="899" spans="14:21" ht="13">
      <c r="N899" s="11"/>
      <c r="S899" s="11"/>
      <c r="T899" s="12"/>
      <c r="U899" s="1"/>
    </row>
    <row r="900" spans="14:21" ht="13">
      <c r="N900" s="11"/>
      <c r="S900" s="11"/>
      <c r="T900" s="12"/>
      <c r="U900" s="1"/>
    </row>
    <row r="901" spans="14:21" ht="13">
      <c r="N901" s="11"/>
      <c r="S901" s="11"/>
      <c r="T901" s="12"/>
      <c r="U901" s="1"/>
    </row>
    <row r="902" spans="14:21" ht="13">
      <c r="N902" s="11"/>
      <c r="S902" s="11"/>
      <c r="T902" s="12"/>
      <c r="U902" s="1"/>
    </row>
    <row r="903" spans="14:21" ht="13">
      <c r="N903" s="11"/>
      <c r="S903" s="11"/>
      <c r="T903" s="12"/>
      <c r="U903" s="1"/>
    </row>
    <row r="904" spans="14:21" ht="13">
      <c r="N904" s="11"/>
      <c r="S904" s="11"/>
      <c r="T904" s="12"/>
      <c r="U904" s="1"/>
    </row>
    <row r="905" spans="14:21" ht="13">
      <c r="N905" s="11"/>
      <c r="S905" s="11"/>
      <c r="T905" s="12"/>
      <c r="U905" s="1"/>
    </row>
    <row r="906" spans="14:21" ht="13">
      <c r="N906" s="11"/>
      <c r="S906" s="11"/>
      <c r="T906" s="12"/>
      <c r="U906" s="1"/>
    </row>
    <row r="907" spans="14:21" ht="13">
      <c r="N907" s="11"/>
      <c r="S907" s="11"/>
      <c r="T907" s="12"/>
      <c r="U907" s="1"/>
    </row>
    <row r="908" spans="14:21" ht="13">
      <c r="N908" s="11"/>
      <c r="S908" s="11"/>
      <c r="T908" s="12"/>
      <c r="U908" s="1"/>
    </row>
    <row r="909" spans="14:21" ht="13">
      <c r="N909" s="11"/>
      <c r="S909" s="11"/>
      <c r="T909" s="12"/>
      <c r="U909" s="1"/>
    </row>
    <row r="910" spans="14:21" ht="13">
      <c r="N910" s="11"/>
      <c r="S910" s="11"/>
      <c r="T910" s="12"/>
      <c r="U910" s="1"/>
    </row>
    <row r="911" spans="14:21" ht="13">
      <c r="N911" s="11"/>
      <c r="S911" s="11"/>
      <c r="T911" s="12"/>
      <c r="U911" s="1"/>
    </row>
    <row r="912" spans="14:21" ht="13">
      <c r="N912" s="11"/>
      <c r="S912" s="11"/>
      <c r="T912" s="12"/>
      <c r="U912" s="1"/>
    </row>
    <row r="913" spans="14:21" ht="13">
      <c r="N913" s="11"/>
      <c r="S913" s="11"/>
      <c r="T913" s="12"/>
      <c r="U913" s="1"/>
    </row>
    <row r="914" spans="14:21" ht="13">
      <c r="N914" s="11"/>
      <c r="S914" s="11"/>
      <c r="T914" s="12"/>
      <c r="U914" s="1"/>
    </row>
    <row r="915" spans="14:21" ht="13">
      <c r="N915" s="11"/>
      <c r="S915" s="11"/>
      <c r="T915" s="12"/>
      <c r="U915" s="1"/>
    </row>
    <row r="916" spans="14:21" ht="13">
      <c r="N916" s="11"/>
      <c r="S916" s="11"/>
      <c r="T916" s="12"/>
      <c r="U916" s="1"/>
    </row>
    <row r="917" spans="14:21" ht="13">
      <c r="N917" s="11"/>
      <c r="S917" s="11"/>
      <c r="T917" s="12"/>
      <c r="U917" s="1"/>
    </row>
    <row r="918" spans="14:21" ht="13">
      <c r="N918" s="11"/>
      <c r="S918" s="11"/>
      <c r="T918" s="12"/>
      <c r="U918" s="1"/>
    </row>
    <row r="919" spans="14:21" ht="13">
      <c r="N919" s="11"/>
      <c r="S919" s="11"/>
      <c r="T919" s="12"/>
      <c r="U919" s="1"/>
    </row>
    <row r="920" spans="14:21" ht="13">
      <c r="N920" s="11"/>
      <c r="S920" s="11"/>
      <c r="T920" s="12"/>
      <c r="U920" s="1"/>
    </row>
    <row r="921" spans="14:21" ht="13">
      <c r="N921" s="11"/>
      <c r="S921" s="11"/>
      <c r="T921" s="12"/>
      <c r="U921" s="1"/>
    </row>
    <row r="922" spans="14:21" ht="13">
      <c r="N922" s="11"/>
      <c r="S922" s="11"/>
      <c r="T922" s="12"/>
      <c r="U922" s="1"/>
    </row>
    <row r="923" spans="14:21" ht="13">
      <c r="N923" s="11"/>
      <c r="S923" s="11"/>
      <c r="T923" s="12"/>
      <c r="U923" s="1"/>
    </row>
    <row r="924" spans="14:21" ht="13">
      <c r="N924" s="11"/>
      <c r="S924" s="11"/>
      <c r="T924" s="12"/>
      <c r="U924" s="1"/>
    </row>
    <row r="925" spans="14:21" ht="13">
      <c r="N925" s="11"/>
      <c r="S925" s="11"/>
      <c r="T925" s="12"/>
      <c r="U925" s="1"/>
    </row>
    <row r="926" spans="14:21" ht="13">
      <c r="N926" s="11"/>
      <c r="S926" s="11"/>
      <c r="T926" s="12"/>
      <c r="U926" s="1"/>
    </row>
    <row r="927" spans="14:21" ht="13">
      <c r="N927" s="11"/>
      <c r="S927" s="11"/>
      <c r="T927" s="12"/>
      <c r="U927" s="1"/>
    </row>
    <row r="928" spans="14:21" ht="13">
      <c r="N928" s="11"/>
      <c r="S928" s="11"/>
      <c r="T928" s="12"/>
      <c r="U928" s="1"/>
    </row>
    <row r="929" spans="14:21" ht="13">
      <c r="N929" s="11"/>
      <c r="S929" s="11"/>
      <c r="T929" s="12"/>
      <c r="U929" s="1"/>
    </row>
    <row r="930" spans="14:21" ht="13">
      <c r="N930" s="11"/>
      <c r="S930" s="11"/>
      <c r="T930" s="12"/>
      <c r="U930" s="1"/>
    </row>
    <row r="931" spans="14:21" ht="13">
      <c r="N931" s="11"/>
      <c r="S931" s="11"/>
      <c r="T931" s="12"/>
      <c r="U931" s="1"/>
    </row>
    <row r="932" spans="14:21" ht="13">
      <c r="N932" s="11"/>
      <c r="S932" s="11"/>
      <c r="T932" s="12"/>
      <c r="U932" s="1"/>
    </row>
    <row r="933" spans="14:21" ht="13">
      <c r="N933" s="11"/>
      <c r="S933" s="11"/>
      <c r="T933" s="12"/>
      <c r="U933" s="1"/>
    </row>
    <row r="934" spans="14:21" ht="13">
      <c r="N934" s="11"/>
      <c r="S934" s="11"/>
      <c r="T934" s="12"/>
      <c r="U934" s="1"/>
    </row>
    <row r="935" spans="14:21" ht="13">
      <c r="N935" s="11"/>
      <c r="S935" s="11"/>
      <c r="T935" s="12"/>
      <c r="U935" s="1"/>
    </row>
    <row r="936" spans="14:21" ht="13">
      <c r="N936" s="11"/>
      <c r="S936" s="11"/>
      <c r="T936" s="12"/>
      <c r="U936" s="1"/>
    </row>
    <row r="937" spans="14:21" ht="13">
      <c r="N937" s="11"/>
      <c r="S937" s="11"/>
      <c r="T937" s="12"/>
      <c r="U937" s="1"/>
    </row>
    <row r="938" spans="14:21" ht="13">
      <c r="N938" s="11"/>
      <c r="S938" s="11"/>
      <c r="T938" s="12"/>
      <c r="U938" s="1"/>
    </row>
    <row r="939" spans="14:21" ht="13">
      <c r="N939" s="11"/>
      <c r="S939" s="11"/>
      <c r="T939" s="12"/>
      <c r="U939" s="1"/>
    </row>
    <row r="940" spans="14:21" ht="13">
      <c r="N940" s="11"/>
      <c r="S940" s="11"/>
      <c r="T940" s="12"/>
      <c r="U940" s="1"/>
    </row>
    <row r="941" spans="14:21" ht="13">
      <c r="N941" s="11"/>
      <c r="S941" s="11"/>
      <c r="T941" s="12"/>
      <c r="U941" s="1"/>
    </row>
    <row r="942" spans="14:21" ht="13">
      <c r="N942" s="11"/>
      <c r="S942" s="11"/>
      <c r="T942" s="12"/>
      <c r="U942" s="1"/>
    </row>
    <row r="943" spans="14:21" ht="13">
      <c r="N943" s="11"/>
      <c r="S943" s="11"/>
      <c r="T943" s="12"/>
      <c r="U943" s="1"/>
    </row>
    <row r="944" spans="14:21" ht="13">
      <c r="N944" s="11"/>
      <c r="S944" s="11"/>
      <c r="T944" s="12"/>
      <c r="U944" s="1"/>
    </row>
    <row r="945" spans="14:21" ht="13">
      <c r="N945" s="11"/>
      <c r="S945" s="11"/>
      <c r="T945" s="12"/>
      <c r="U945" s="1"/>
    </row>
    <row r="946" spans="14:21" ht="13">
      <c r="N946" s="11"/>
      <c r="S946" s="11"/>
      <c r="T946" s="12"/>
      <c r="U946" s="1"/>
    </row>
    <row r="947" spans="14:21" ht="13">
      <c r="N947" s="11"/>
      <c r="S947" s="11"/>
      <c r="T947" s="12"/>
      <c r="U947" s="1"/>
    </row>
    <row r="948" spans="14:21" ht="13">
      <c r="N948" s="11"/>
      <c r="S948" s="11"/>
      <c r="T948" s="12"/>
      <c r="U948" s="1"/>
    </row>
    <row r="949" spans="14:21" ht="13">
      <c r="N949" s="11"/>
      <c r="S949" s="11"/>
      <c r="T949" s="12"/>
      <c r="U949" s="1"/>
    </row>
    <row r="950" spans="14:21" ht="13">
      <c r="N950" s="11"/>
      <c r="S950" s="11"/>
      <c r="T950" s="12"/>
      <c r="U950" s="1"/>
    </row>
    <row r="951" spans="14:21" ht="13">
      <c r="N951" s="11"/>
      <c r="S951" s="11"/>
      <c r="T951" s="12"/>
      <c r="U951" s="1"/>
    </row>
    <row r="952" spans="14:21" ht="13">
      <c r="N952" s="11"/>
      <c r="S952" s="11"/>
      <c r="T952" s="12"/>
      <c r="U952" s="1"/>
    </row>
    <row r="953" spans="14:21" ht="13">
      <c r="N953" s="11"/>
      <c r="S953" s="11"/>
      <c r="T953" s="12"/>
      <c r="U953" s="1"/>
    </row>
    <row r="954" spans="14:21" ht="13">
      <c r="N954" s="11"/>
      <c r="S954" s="11"/>
      <c r="T954" s="12"/>
      <c r="U954" s="1"/>
    </row>
    <row r="955" spans="14:21" ht="13">
      <c r="N955" s="11"/>
      <c r="S955" s="11"/>
      <c r="T955" s="12"/>
      <c r="U955" s="1"/>
    </row>
    <row r="956" spans="14:21" ht="13">
      <c r="N956" s="11"/>
      <c r="S956" s="11"/>
      <c r="T956" s="12"/>
      <c r="U956" s="1"/>
    </row>
    <row r="957" spans="14:21" ht="13">
      <c r="N957" s="11"/>
      <c r="S957" s="11"/>
      <c r="T957" s="12"/>
      <c r="U957" s="1"/>
    </row>
    <row r="958" spans="14:21" ht="13">
      <c r="N958" s="11"/>
      <c r="S958" s="11"/>
      <c r="T958" s="12"/>
      <c r="U958" s="1"/>
    </row>
    <row r="959" spans="14:21" ht="13">
      <c r="N959" s="11"/>
      <c r="S959" s="11"/>
      <c r="T959" s="12"/>
      <c r="U959" s="1"/>
    </row>
    <row r="960" spans="14:21" ht="13">
      <c r="N960" s="11"/>
      <c r="S960" s="11"/>
      <c r="T960" s="12"/>
      <c r="U960" s="1"/>
    </row>
    <row r="961" spans="14:21" ht="13">
      <c r="N961" s="11"/>
      <c r="S961" s="11"/>
      <c r="T961" s="12"/>
      <c r="U961" s="1"/>
    </row>
    <row r="962" spans="14:21" ht="13">
      <c r="N962" s="11"/>
      <c r="S962" s="11"/>
      <c r="T962" s="12"/>
      <c r="U962" s="1"/>
    </row>
    <row r="963" spans="14:21" ht="13">
      <c r="N963" s="11"/>
      <c r="S963" s="11"/>
      <c r="T963" s="12"/>
      <c r="U963" s="1"/>
    </row>
    <row r="964" spans="14:21" ht="13">
      <c r="N964" s="11"/>
      <c r="S964" s="11"/>
      <c r="T964" s="12"/>
      <c r="U964" s="1"/>
    </row>
    <row r="965" spans="14:21" ht="13">
      <c r="N965" s="11"/>
      <c r="S965" s="11"/>
      <c r="T965" s="12"/>
      <c r="U965" s="1"/>
    </row>
    <row r="966" spans="14:21" ht="13">
      <c r="N966" s="11"/>
      <c r="S966" s="11"/>
      <c r="T966" s="12"/>
      <c r="U966" s="1"/>
    </row>
    <row r="967" spans="14:21" ht="13">
      <c r="N967" s="11"/>
      <c r="S967" s="11"/>
      <c r="T967" s="12"/>
      <c r="U967" s="1"/>
    </row>
    <row r="968" spans="14:21" ht="13">
      <c r="N968" s="11"/>
      <c r="S968" s="11"/>
      <c r="T968" s="12"/>
      <c r="U968" s="1"/>
    </row>
    <row r="969" spans="14:21" ht="13">
      <c r="N969" s="11"/>
      <c r="S969" s="11"/>
      <c r="T969" s="12"/>
      <c r="U969" s="1"/>
    </row>
    <row r="970" spans="14:21" ht="13">
      <c r="N970" s="11"/>
      <c r="S970" s="11"/>
      <c r="T970" s="12"/>
      <c r="U970" s="1"/>
    </row>
    <row r="971" spans="14:21" ht="13">
      <c r="N971" s="11"/>
      <c r="S971" s="11"/>
      <c r="T971" s="12"/>
      <c r="U971" s="1"/>
    </row>
    <row r="972" spans="14:21" ht="13">
      <c r="N972" s="11"/>
      <c r="S972" s="11"/>
      <c r="T972" s="12"/>
      <c r="U972" s="1"/>
    </row>
    <row r="973" spans="14:21" ht="13">
      <c r="N973" s="11"/>
      <c r="S973" s="11"/>
      <c r="T973" s="12"/>
      <c r="U973" s="1"/>
    </row>
    <row r="974" spans="14:21" ht="13">
      <c r="N974" s="11"/>
      <c r="S974" s="11"/>
      <c r="T974" s="12"/>
      <c r="U974" s="1"/>
    </row>
    <row r="975" spans="14:21" ht="13">
      <c r="N975" s="11"/>
      <c r="S975" s="11"/>
      <c r="T975" s="12"/>
      <c r="U975" s="1"/>
    </row>
    <row r="976" spans="14:21" ht="13">
      <c r="N976" s="11"/>
      <c r="S976" s="11"/>
      <c r="T976" s="12"/>
      <c r="U976" s="1"/>
    </row>
    <row r="977" spans="14:21" ht="13">
      <c r="N977" s="11"/>
      <c r="S977" s="11"/>
      <c r="T977" s="12"/>
      <c r="U977" s="1"/>
    </row>
    <row r="978" spans="14:21" ht="13">
      <c r="N978" s="11"/>
      <c r="S978" s="11"/>
      <c r="T978" s="12"/>
      <c r="U978" s="1"/>
    </row>
    <row r="979" spans="14:21" ht="13">
      <c r="N979" s="11"/>
      <c r="S979" s="11"/>
      <c r="T979" s="12"/>
      <c r="U979" s="1"/>
    </row>
    <row r="980" spans="14:21" ht="13">
      <c r="N980" s="11"/>
      <c r="S980" s="11"/>
      <c r="T980" s="12"/>
      <c r="U980" s="1"/>
    </row>
    <row r="981" spans="14:21" ht="13">
      <c r="N981" s="11"/>
      <c r="S981" s="11"/>
      <c r="T981" s="12"/>
      <c r="U981" s="1"/>
    </row>
    <row r="982" spans="14:21" ht="13">
      <c r="N982" s="11"/>
      <c r="S982" s="11"/>
      <c r="T982" s="12"/>
      <c r="U982" s="1"/>
    </row>
    <row r="983" spans="14:21" ht="13">
      <c r="N983" s="11"/>
      <c r="S983" s="11"/>
      <c r="T983" s="12"/>
      <c r="U983" s="1"/>
    </row>
    <row r="984" spans="14:21" ht="13">
      <c r="N984" s="11"/>
      <c r="S984" s="11"/>
      <c r="T984" s="12"/>
      <c r="U984" s="1"/>
    </row>
    <row r="985" spans="14:21" ht="13">
      <c r="N985" s="11"/>
      <c r="S985" s="11"/>
      <c r="T985" s="12"/>
      <c r="U985" s="1"/>
    </row>
    <row r="986" spans="14:21" ht="13">
      <c r="N986" s="11"/>
      <c r="S986" s="11"/>
      <c r="T986" s="12"/>
      <c r="U986" s="1"/>
    </row>
    <row r="987" spans="14:21" ht="13">
      <c r="N987" s="11"/>
      <c r="S987" s="11"/>
      <c r="T987" s="12"/>
      <c r="U987" s="1"/>
    </row>
    <row r="988" spans="14:21" ht="13">
      <c r="N988" s="11"/>
      <c r="S988" s="11"/>
      <c r="T988" s="12"/>
      <c r="U988" s="1"/>
    </row>
    <row r="989" spans="14:21" ht="13">
      <c r="N989" s="11"/>
      <c r="S989" s="11"/>
      <c r="T989" s="12"/>
      <c r="U989" s="1"/>
    </row>
    <row r="990" spans="14:21" ht="13">
      <c r="N990" s="11"/>
      <c r="S990" s="11"/>
      <c r="T990" s="12"/>
      <c r="U990" s="1"/>
    </row>
    <row r="991" spans="14:21" ht="13">
      <c r="N991" s="11"/>
      <c r="S991" s="11"/>
      <c r="T991" s="12"/>
      <c r="U991" s="1"/>
    </row>
    <row r="992" spans="14:21" ht="13">
      <c r="N992" s="11"/>
      <c r="S992" s="11"/>
      <c r="T992" s="12"/>
      <c r="U992" s="1"/>
    </row>
    <row r="993" spans="14:21" ht="13">
      <c r="N993" s="11"/>
      <c r="S993" s="11"/>
      <c r="T993" s="12"/>
      <c r="U993" s="1"/>
    </row>
    <row r="994" spans="14:21" ht="13">
      <c r="N994" s="11"/>
      <c r="S994" s="11"/>
      <c r="T994" s="12"/>
      <c r="U994" s="1"/>
    </row>
    <row r="995" spans="14:21" ht="13">
      <c r="N995" s="11"/>
      <c r="S995" s="11"/>
      <c r="T995" s="12"/>
      <c r="U995" s="1"/>
    </row>
    <row r="996" spans="14:21" ht="13">
      <c r="N996" s="11"/>
      <c r="S996" s="11"/>
      <c r="T996" s="12"/>
      <c r="U996" s="1"/>
    </row>
    <row r="997" spans="14:21" ht="13">
      <c r="N997" s="11"/>
      <c r="S997" s="11"/>
      <c r="T997" s="12"/>
      <c r="U997" s="1"/>
    </row>
    <row r="998" spans="14:21" ht="13">
      <c r="N998" s="11"/>
      <c r="S998" s="11"/>
      <c r="T998" s="12"/>
      <c r="U998" s="1"/>
    </row>
    <row r="999" spans="14:21" ht="13">
      <c r="N999" s="11"/>
      <c r="S999" s="11"/>
      <c r="T999" s="12"/>
      <c r="U999" s="1"/>
    </row>
    <row r="1000" spans="14:21" ht="13">
      <c r="N1000" s="11"/>
      <c r="S1000" s="11"/>
      <c r="T1000" s="12"/>
      <c r="U1000" s="1"/>
    </row>
    <row r="1001" spans="14:21" ht="13">
      <c r="N1001" s="11"/>
      <c r="S1001" s="11"/>
      <c r="T1001" s="12"/>
      <c r="U1001" s="1"/>
    </row>
    <row r="1002" spans="14:21" ht="13">
      <c r="N1002" s="11"/>
      <c r="S1002" s="11"/>
      <c r="T1002" s="12"/>
      <c r="U1002" s="1"/>
    </row>
    <row r="1003" spans="14:21" ht="13">
      <c r="N1003" s="11"/>
      <c r="S1003" s="11"/>
      <c r="T1003" s="12"/>
      <c r="U1003" s="1"/>
    </row>
    <row r="1004" spans="14:21" ht="13">
      <c r="N1004" s="11"/>
      <c r="S1004" s="11"/>
      <c r="T1004" s="12"/>
      <c r="U1004" s="1"/>
    </row>
    <row r="1005" spans="14:21" ht="13">
      <c r="N1005" s="11"/>
      <c r="S1005" s="11"/>
      <c r="T1005" s="12"/>
      <c r="U1005" s="1"/>
    </row>
    <row r="1006" spans="14:21" ht="13">
      <c r="N1006" s="11"/>
      <c r="S1006" s="11"/>
      <c r="T1006" s="12"/>
      <c r="U1006" s="1"/>
    </row>
    <row r="1007" spans="14:21" ht="13">
      <c r="N1007" s="11"/>
      <c r="S1007" s="11"/>
      <c r="T1007" s="12"/>
      <c r="U1007" s="1"/>
    </row>
    <row r="1008" spans="14:21" ht="13">
      <c r="N1008" s="11"/>
      <c r="S1008" s="11"/>
      <c r="T1008" s="12"/>
      <c r="U1008" s="1"/>
    </row>
    <row r="1009" spans="14:21" ht="13">
      <c r="N1009" s="11"/>
      <c r="S1009" s="11"/>
      <c r="T1009" s="12"/>
      <c r="U1009" s="1"/>
    </row>
    <row r="1010" spans="14:21" ht="13">
      <c r="N1010" s="11"/>
      <c r="S1010" s="11"/>
      <c r="T1010" s="12"/>
      <c r="U1010" s="1"/>
    </row>
    <row r="1011" spans="14:21" ht="13">
      <c r="N1011" s="11"/>
      <c r="S1011" s="11"/>
      <c r="T1011" s="12"/>
      <c r="U1011" s="1"/>
    </row>
    <row r="1012" spans="14:21" ht="13">
      <c r="N1012" s="11"/>
      <c r="S1012" s="11"/>
      <c r="T1012" s="12"/>
      <c r="U1012" s="1"/>
    </row>
    <row r="1013" spans="14:21" ht="13">
      <c r="N1013" s="11"/>
      <c r="S1013" s="11"/>
      <c r="T1013" s="12"/>
      <c r="U1013" s="1"/>
    </row>
    <row r="1014" spans="14:21" ht="13">
      <c r="N1014" s="11"/>
      <c r="S1014" s="11"/>
      <c r="T1014" s="12"/>
      <c r="U1014" s="1"/>
    </row>
    <row r="1015" spans="14:21" ht="13">
      <c r="N1015" s="11"/>
      <c r="S1015" s="11"/>
      <c r="T1015" s="12"/>
      <c r="U1015" s="1"/>
    </row>
    <row r="1016" spans="14:21" ht="13">
      <c r="N1016" s="11"/>
      <c r="S1016" s="11"/>
      <c r="T1016" s="12"/>
      <c r="U1016" s="1"/>
    </row>
    <row r="1017" spans="14:21" ht="13">
      <c r="N1017" s="11"/>
      <c r="S1017" s="11"/>
      <c r="T1017" s="12"/>
      <c r="U1017" s="1"/>
    </row>
    <row r="1018" spans="14:21" ht="13">
      <c r="N1018" s="11"/>
      <c r="S1018" s="11"/>
      <c r="T1018" s="12"/>
      <c r="U1018" s="1"/>
    </row>
    <row r="1019" spans="14:21" ht="13">
      <c r="N1019" s="11"/>
      <c r="S1019" s="11"/>
      <c r="T1019" s="12"/>
      <c r="U1019" s="1"/>
    </row>
    <row r="1020" spans="14:21" ht="13">
      <c r="N1020" s="11"/>
      <c r="S1020" s="11"/>
      <c r="T1020" s="12"/>
      <c r="U1020" s="1"/>
    </row>
    <row r="1021" spans="14:21" ht="13">
      <c r="N1021" s="11"/>
      <c r="S1021" s="11"/>
      <c r="T1021" s="12"/>
      <c r="U1021" s="1"/>
    </row>
    <row r="1022" spans="14:21" ht="13">
      <c r="N1022" s="11"/>
      <c r="S1022" s="11"/>
      <c r="T1022" s="12"/>
      <c r="U1022" s="1"/>
    </row>
    <row r="1023" spans="14:21" ht="13">
      <c r="N1023" s="11"/>
      <c r="S1023" s="11"/>
      <c r="T1023" s="12"/>
      <c r="U1023" s="1"/>
    </row>
    <row r="1024" spans="14:21" ht="13">
      <c r="N1024" s="11"/>
      <c r="S1024" s="11"/>
      <c r="T1024" s="12"/>
      <c r="U1024" s="1"/>
    </row>
    <row r="1025" spans="14:21" ht="13">
      <c r="N1025" s="11"/>
      <c r="S1025" s="11"/>
      <c r="T1025" s="12"/>
      <c r="U1025" s="1"/>
    </row>
    <row r="1026" spans="14:21" ht="13">
      <c r="N1026" s="11"/>
      <c r="S1026" s="11"/>
      <c r="T1026" s="12"/>
      <c r="U1026" s="1"/>
    </row>
    <row r="1027" spans="14:21" ht="13">
      <c r="N1027" s="11"/>
      <c r="S1027" s="11"/>
      <c r="T1027" s="12"/>
      <c r="U1027" s="1"/>
    </row>
    <row r="1028" spans="14:21" ht="13">
      <c r="N1028" s="11"/>
      <c r="S1028" s="11"/>
      <c r="T1028" s="12"/>
      <c r="U1028" s="1"/>
    </row>
    <row r="1029" spans="14:21" ht="13">
      <c r="N1029" s="11"/>
      <c r="S1029" s="11"/>
      <c r="T1029" s="12"/>
      <c r="U1029" s="1"/>
    </row>
    <row r="1030" spans="14:21" ht="13">
      <c r="N1030" s="11"/>
      <c r="S1030" s="11"/>
      <c r="T1030" s="12"/>
      <c r="U1030" s="1"/>
    </row>
    <row r="1031" spans="14:21" ht="13">
      <c r="N1031" s="11"/>
      <c r="S1031" s="11"/>
      <c r="T1031" s="12"/>
      <c r="U1031" s="1"/>
    </row>
    <row r="1032" spans="14:21" ht="13">
      <c r="N1032" s="11"/>
      <c r="S1032" s="11"/>
      <c r="T1032" s="12"/>
      <c r="U1032" s="1"/>
    </row>
    <row r="1033" spans="14:21" ht="13">
      <c r="N1033" s="11"/>
      <c r="S1033" s="11"/>
      <c r="T1033" s="12"/>
      <c r="U1033" s="1"/>
    </row>
    <row r="1034" spans="14:21" ht="13">
      <c r="N1034" s="11"/>
      <c r="S1034" s="11"/>
      <c r="T1034" s="12"/>
      <c r="U1034" s="1"/>
    </row>
    <row r="1035" spans="14:21" ht="13">
      <c r="N1035" s="11"/>
      <c r="S1035" s="11"/>
      <c r="T1035" s="12"/>
      <c r="U1035" s="1"/>
    </row>
    <row r="1036" spans="14:21" ht="13">
      <c r="N1036" s="11"/>
      <c r="S1036" s="11"/>
      <c r="T1036" s="12"/>
      <c r="U1036" s="1"/>
    </row>
    <row r="1037" spans="14:21" ht="13">
      <c r="N1037" s="11"/>
      <c r="S1037" s="11"/>
      <c r="T1037" s="12"/>
      <c r="U1037" s="1"/>
    </row>
    <row r="1038" spans="14:21" ht="13">
      <c r="N1038" s="11"/>
      <c r="S1038" s="11"/>
      <c r="T1038" s="12"/>
      <c r="U1038" s="1"/>
    </row>
    <row r="1039" spans="14:21" ht="13">
      <c r="N1039" s="11"/>
      <c r="S1039" s="11"/>
      <c r="T1039" s="12"/>
      <c r="U1039" s="1"/>
    </row>
    <row r="1040" spans="14:21" ht="13">
      <c r="N1040" s="11"/>
      <c r="S1040" s="11"/>
      <c r="T1040" s="12"/>
      <c r="U1040" s="1"/>
    </row>
    <row r="1041" spans="14:21" ht="13">
      <c r="N1041" s="11"/>
      <c r="S1041" s="11"/>
      <c r="T1041" s="12"/>
      <c r="U1041" s="1"/>
    </row>
    <row r="1042" spans="14:21" ht="13">
      <c r="N1042" s="11"/>
      <c r="S1042" s="11"/>
      <c r="T1042" s="12"/>
      <c r="U1042" s="1"/>
    </row>
    <row r="1043" spans="14:21" ht="13">
      <c r="N1043" s="11"/>
      <c r="S1043" s="11"/>
      <c r="T1043" s="12"/>
      <c r="U1043" s="1"/>
    </row>
    <row r="1044" spans="14:21" ht="13">
      <c r="N1044" s="11"/>
      <c r="S1044" s="11"/>
      <c r="T1044" s="12"/>
      <c r="U1044" s="1"/>
    </row>
    <row r="1045" spans="14:21" ht="13">
      <c r="N1045" s="11"/>
      <c r="S1045" s="11"/>
      <c r="T1045" s="12"/>
      <c r="U1045" s="1"/>
    </row>
    <row r="1046" spans="14:21" ht="13">
      <c r="N1046" s="11"/>
      <c r="S1046" s="11"/>
      <c r="T1046" s="12"/>
      <c r="U1046" s="1"/>
    </row>
    <row r="1047" spans="14:21" ht="13">
      <c r="N1047" s="11"/>
      <c r="S1047" s="11"/>
      <c r="T1047" s="12"/>
      <c r="U1047" s="1"/>
    </row>
    <row r="1048" spans="14:21" ht="13">
      <c r="N1048" s="11"/>
      <c r="S1048" s="11"/>
      <c r="T1048" s="12"/>
      <c r="U1048" s="1"/>
    </row>
    <row r="1049" spans="14:21" ht="13">
      <c r="N1049" s="11"/>
      <c r="S1049" s="11"/>
      <c r="T1049" s="12"/>
      <c r="U1049" s="1"/>
    </row>
    <row r="1050" spans="14:21" ht="13">
      <c r="N1050" s="11"/>
      <c r="S1050" s="11"/>
      <c r="T1050" s="12"/>
      <c r="U1050" s="1"/>
    </row>
    <row r="1051" spans="14:21" ht="13">
      <c r="N1051" s="11"/>
      <c r="S1051" s="11"/>
      <c r="T1051" s="12"/>
      <c r="U1051" s="1"/>
    </row>
    <row r="1052" spans="14:21" ht="13">
      <c r="N1052" s="11"/>
      <c r="S1052" s="11"/>
      <c r="T1052" s="12"/>
      <c r="U1052" s="1"/>
    </row>
    <row r="1053" spans="14:21" ht="13">
      <c r="N1053" s="11"/>
      <c r="S1053" s="11"/>
      <c r="T1053" s="12"/>
      <c r="U1053" s="1"/>
    </row>
    <row r="1054" spans="14:21" ht="13">
      <c r="N1054" s="11"/>
      <c r="S1054" s="11"/>
      <c r="T1054" s="12"/>
      <c r="U1054" s="1"/>
    </row>
    <row r="1055" spans="14:21" ht="13">
      <c r="N1055" s="11"/>
      <c r="S1055" s="11"/>
      <c r="T1055" s="12"/>
      <c r="U1055" s="1"/>
    </row>
  </sheetData>
  <mergeCells count="116">
    <mergeCell ref="A49:A52"/>
    <mergeCell ref="B49:B52"/>
    <mergeCell ref="C49:C52"/>
    <mergeCell ref="A53:A55"/>
    <mergeCell ref="B53:B55"/>
    <mergeCell ref="C53:C55"/>
    <mergeCell ref="B45:B48"/>
    <mergeCell ref="C45:C48"/>
    <mergeCell ref="A37:A40"/>
    <mergeCell ref="B37:B40"/>
    <mergeCell ref="C37:C40"/>
    <mergeCell ref="A41:A44"/>
    <mergeCell ref="B41:B44"/>
    <mergeCell ref="C41:C44"/>
    <mergeCell ref="A45:A48"/>
    <mergeCell ref="A72:A73"/>
    <mergeCell ref="B62:B64"/>
    <mergeCell ref="C62:C64"/>
    <mergeCell ref="A56:A58"/>
    <mergeCell ref="B56:B58"/>
    <mergeCell ref="C56:C58"/>
    <mergeCell ref="A59:A61"/>
    <mergeCell ref="B59:B61"/>
    <mergeCell ref="C59:C61"/>
    <mergeCell ref="A62:A64"/>
    <mergeCell ref="A2:A3"/>
    <mergeCell ref="B2:B3"/>
    <mergeCell ref="C2:C3"/>
    <mergeCell ref="A4:A8"/>
    <mergeCell ref="B4:B8"/>
    <mergeCell ref="C4:C8"/>
    <mergeCell ref="A9:A13"/>
    <mergeCell ref="B78:B79"/>
    <mergeCell ref="C78:C79"/>
    <mergeCell ref="A74:A75"/>
    <mergeCell ref="B74:B75"/>
    <mergeCell ref="C74:C75"/>
    <mergeCell ref="A76:A77"/>
    <mergeCell ref="B76:B77"/>
    <mergeCell ref="C76:C77"/>
    <mergeCell ref="A78:A79"/>
    <mergeCell ref="B72:B73"/>
    <mergeCell ref="C72:C73"/>
    <mergeCell ref="A65:A67"/>
    <mergeCell ref="B65:B67"/>
    <mergeCell ref="C65:C67"/>
    <mergeCell ref="A70:A71"/>
    <mergeCell ref="B70:B71"/>
    <mergeCell ref="C70:C71"/>
    <mergeCell ref="A14:A18"/>
    <mergeCell ref="B14:B18"/>
    <mergeCell ref="C14:C18"/>
    <mergeCell ref="A19:A24"/>
    <mergeCell ref="B19:B24"/>
    <mergeCell ref="C19:C24"/>
    <mergeCell ref="A25:A27"/>
    <mergeCell ref="B9:B13"/>
    <mergeCell ref="C9:C13"/>
    <mergeCell ref="C33:C35"/>
    <mergeCell ref="A28:A30"/>
    <mergeCell ref="B28:B30"/>
    <mergeCell ref="C28:C30"/>
    <mergeCell ref="A31:A32"/>
    <mergeCell ref="B31:B32"/>
    <mergeCell ref="C31:C32"/>
    <mergeCell ref="A33:A35"/>
    <mergeCell ref="B25:B27"/>
    <mergeCell ref="C25:C27"/>
    <mergeCell ref="U5:U8"/>
    <mergeCell ref="U9:U13"/>
    <mergeCell ref="U14:U18"/>
    <mergeCell ref="U19:U24"/>
    <mergeCell ref="U25:U27"/>
    <mergeCell ref="A96:A98"/>
    <mergeCell ref="B96:B98"/>
    <mergeCell ref="C96:C98"/>
    <mergeCell ref="B90:B93"/>
    <mergeCell ref="C90:C93"/>
    <mergeCell ref="A90:A93"/>
    <mergeCell ref="A94:A95"/>
    <mergeCell ref="B94:B95"/>
    <mergeCell ref="C94:C95"/>
    <mergeCell ref="B85:B86"/>
    <mergeCell ref="C85:C86"/>
    <mergeCell ref="A80:A81"/>
    <mergeCell ref="B80:B81"/>
    <mergeCell ref="C80:C81"/>
    <mergeCell ref="A82:A84"/>
    <mergeCell ref="B82:B84"/>
    <mergeCell ref="C82:C84"/>
    <mergeCell ref="A85:A86"/>
    <mergeCell ref="B33:B35"/>
    <mergeCell ref="O1:U1"/>
    <mergeCell ref="U90:U93"/>
    <mergeCell ref="U94:U95"/>
    <mergeCell ref="U96:U98"/>
    <mergeCell ref="U76:U77"/>
    <mergeCell ref="U78:U79"/>
    <mergeCell ref="U80:U81"/>
    <mergeCell ref="U82:U84"/>
    <mergeCell ref="U85:U86"/>
    <mergeCell ref="U62:U64"/>
    <mergeCell ref="U65:U67"/>
    <mergeCell ref="U70:U71"/>
    <mergeCell ref="U72:U73"/>
    <mergeCell ref="U74:U75"/>
    <mergeCell ref="U45:U48"/>
    <mergeCell ref="U49:U52"/>
    <mergeCell ref="U53:U55"/>
    <mergeCell ref="U56:U58"/>
    <mergeCell ref="U59:U61"/>
    <mergeCell ref="U28:U30"/>
    <mergeCell ref="U31:U32"/>
    <mergeCell ref="U33:U35"/>
    <mergeCell ref="U37:U40"/>
    <mergeCell ref="U41:U44"/>
  </mergeCells>
  <printOptions gridLines="1"/>
  <pageMargins left="0.25" right="0.25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>
      <selection activeCell="A3" sqref="A3"/>
    </sheetView>
  </sheetViews>
  <sheetFormatPr baseColWidth="10" defaultColWidth="12.5" defaultRowHeight="15.75" customHeight="1"/>
  <sheetData>
    <row r="1" spans="1:1" ht="15.75" customHeight="1">
      <c r="A1" s="71" t="s">
        <v>85</v>
      </c>
    </row>
    <row r="3" spans="1:1" ht="15.75" customHeight="1">
      <c r="A3" s="71" t="s">
        <v>86</v>
      </c>
    </row>
  </sheetData>
  <hyperlinks>
    <hyperlink ref="A1" r:id="rId1" location="z105" xr:uid="{00000000-0004-0000-0100-000000000000}"/>
    <hyperlink ref="A3" r:id="rId2" location="z17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3"/>
  <sheetViews>
    <sheetView workbookViewId="0"/>
  </sheetViews>
  <sheetFormatPr baseColWidth="10" defaultColWidth="12.5" defaultRowHeight="15.75" customHeight="1"/>
  <cols>
    <col min="1" max="1" width="2.83203125" customWidth="1"/>
    <col min="2" max="2" width="7.6640625" customWidth="1"/>
    <col min="3" max="3" width="5.6640625" customWidth="1"/>
    <col min="4" max="4" width="10.5" customWidth="1"/>
    <col min="5" max="5" width="5.5" customWidth="1"/>
    <col min="6" max="6" width="27.6640625" customWidth="1"/>
    <col min="7" max="7" width="12.5" customWidth="1"/>
  </cols>
  <sheetData>
    <row r="1" spans="1:7" ht="15.75" customHeight="1">
      <c r="A1" s="13" t="s">
        <v>0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</row>
    <row r="2" spans="1:7" ht="15.75" customHeight="1">
      <c r="A2" s="14">
        <v>1</v>
      </c>
      <c r="B2" s="14">
        <v>110</v>
      </c>
      <c r="C2" s="14">
        <v>1</v>
      </c>
      <c r="D2" s="14">
        <v>22</v>
      </c>
      <c r="E2" s="14" t="s">
        <v>15</v>
      </c>
      <c r="F2" s="14"/>
      <c r="G2" s="14"/>
    </row>
    <row r="3" spans="1:7" ht="15.75" customHeight="1">
      <c r="A3" s="14">
        <v>2</v>
      </c>
      <c r="B3" s="14">
        <v>109</v>
      </c>
      <c r="C3" s="14">
        <v>1</v>
      </c>
      <c r="D3" s="14">
        <v>22</v>
      </c>
      <c r="E3" s="14" t="s">
        <v>16</v>
      </c>
      <c r="F3" s="14" t="s">
        <v>29</v>
      </c>
      <c r="G3" s="14" t="s">
        <v>93</v>
      </c>
    </row>
    <row r="4" spans="1:7" ht="15.75" customHeight="1">
      <c r="A4" s="14">
        <v>3</v>
      </c>
      <c r="B4" s="14">
        <v>107</v>
      </c>
      <c r="C4" s="14">
        <v>1</v>
      </c>
      <c r="D4" s="14"/>
      <c r="E4" s="14"/>
      <c r="F4" s="14"/>
      <c r="G4" s="14" t="s">
        <v>37</v>
      </c>
    </row>
    <row r="5" spans="1:7" ht="15.75" customHeight="1">
      <c r="A5" s="14"/>
      <c r="B5" s="14">
        <v>104</v>
      </c>
      <c r="C5" s="14">
        <v>1</v>
      </c>
      <c r="D5" s="14"/>
      <c r="E5" s="14"/>
      <c r="F5" s="14" t="s">
        <v>94</v>
      </c>
      <c r="G5" s="14" t="s">
        <v>34</v>
      </c>
    </row>
    <row r="6" spans="1:7" ht="15.75" customHeight="1">
      <c r="A6" s="14">
        <v>4</v>
      </c>
      <c r="B6" s="14">
        <v>201</v>
      </c>
      <c r="C6" s="14">
        <v>2</v>
      </c>
      <c r="D6" s="14">
        <v>21</v>
      </c>
      <c r="E6" s="14"/>
      <c r="F6" s="14" t="s">
        <v>77</v>
      </c>
      <c r="G6" s="14" t="s">
        <v>78</v>
      </c>
    </row>
    <row r="7" spans="1:7" ht="15.75" customHeight="1">
      <c r="A7" s="14">
        <v>5</v>
      </c>
      <c r="B7" s="14">
        <v>203</v>
      </c>
      <c r="C7" s="14">
        <v>2</v>
      </c>
      <c r="D7" s="14">
        <v>21</v>
      </c>
      <c r="E7" s="14"/>
      <c r="F7" s="14" t="s">
        <v>95</v>
      </c>
      <c r="G7" s="14" t="s">
        <v>70</v>
      </c>
    </row>
    <row r="8" spans="1:7" ht="15.75" customHeight="1">
      <c r="A8" s="14">
        <v>6</v>
      </c>
      <c r="B8" s="14">
        <v>204</v>
      </c>
      <c r="C8" s="14">
        <v>2</v>
      </c>
      <c r="D8" s="14">
        <v>36</v>
      </c>
      <c r="E8" s="14" t="s">
        <v>13</v>
      </c>
      <c r="F8" s="14" t="s">
        <v>28</v>
      </c>
      <c r="G8" s="14" t="s">
        <v>93</v>
      </c>
    </row>
    <row r="9" spans="1:7" ht="15.75" customHeight="1">
      <c r="A9" s="14">
        <v>7</v>
      </c>
      <c r="B9" s="14">
        <v>205</v>
      </c>
      <c r="C9" s="14">
        <v>2</v>
      </c>
      <c r="D9" s="14">
        <v>22</v>
      </c>
      <c r="E9" s="14" t="s">
        <v>3</v>
      </c>
      <c r="F9" s="14" t="s">
        <v>27</v>
      </c>
      <c r="G9" s="14" t="s">
        <v>93</v>
      </c>
    </row>
    <row r="10" spans="1:7" ht="15.75" customHeight="1">
      <c r="A10" s="14">
        <v>8</v>
      </c>
      <c r="B10" s="14">
        <v>206</v>
      </c>
      <c r="C10" s="14">
        <v>2</v>
      </c>
      <c r="D10" s="14">
        <v>22</v>
      </c>
      <c r="E10" s="14" t="s">
        <v>4</v>
      </c>
      <c r="F10" s="14" t="s">
        <v>21</v>
      </c>
      <c r="G10" s="14" t="s">
        <v>93</v>
      </c>
    </row>
    <row r="11" spans="1:7" ht="15.75" customHeight="1">
      <c r="A11" s="14">
        <v>9</v>
      </c>
      <c r="B11" s="14">
        <v>209</v>
      </c>
      <c r="C11" s="14">
        <v>2</v>
      </c>
      <c r="D11" s="14">
        <v>21</v>
      </c>
      <c r="E11" s="14" t="s">
        <v>5</v>
      </c>
      <c r="F11" s="14" t="s">
        <v>96</v>
      </c>
      <c r="G11" s="14" t="s">
        <v>32</v>
      </c>
    </row>
    <row r="12" spans="1:7" ht="15.75" customHeight="1">
      <c r="A12" s="14">
        <v>10</v>
      </c>
      <c r="B12" s="14">
        <v>210</v>
      </c>
      <c r="C12" s="14">
        <v>2</v>
      </c>
      <c r="D12" s="14">
        <v>22</v>
      </c>
      <c r="E12" s="14" t="s">
        <v>14</v>
      </c>
      <c r="F12" s="14" t="s">
        <v>69</v>
      </c>
      <c r="G12" s="14" t="s">
        <v>70</v>
      </c>
    </row>
    <row r="13" spans="1:7" ht="15.75" customHeight="1">
      <c r="A13" s="14">
        <v>11</v>
      </c>
      <c r="B13" s="14">
        <v>211</v>
      </c>
      <c r="C13" s="14">
        <v>2</v>
      </c>
      <c r="D13" s="14">
        <v>22</v>
      </c>
      <c r="E13" s="14"/>
      <c r="F13" s="14" t="s">
        <v>79</v>
      </c>
      <c r="G13" s="14" t="s">
        <v>78</v>
      </c>
    </row>
    <row r="14" spans="1:7" ht="15.75" customHeight="1">
      <c r="A14" s="14">
        <v>12</v>
      </c>
      <c r="B14" s="14">
        <v>301</v>
      </c>
      <c r="C14" s="14">
        <v>3</v>
      </c>
      <c r="D14" s="14">
        <v>24</v>
      </c>
      <c r="E14" s="14" t="s">
        <v>97</v>
      </c>
      <c r="F14" s="14" t="s">
        <v>58</v>
      </c>
      <c r="G14" s="14" t="s">
        <v>98</v>
      </c>
    </row>
    <row r="15" spans="1:7" ht="15.75" customHeight="1">
      <c r="A15" s="14">
        <v>13</v>
      </c>
      <c r="B15" s="14">
        <v>302</v>
      </c>
      <c r="C15" s="14">
        <v>3</v>
      </c>
      <c r="D15" s="14">
        <v>25</v>
      </c>
      <c r="E15" s="14" t="s">
        <v>10</v>
      </c>
      <c r="F15" s="14"/>
      <c r="G15" s="14" t="s">
        <v>98</v>
      </c>
    </row>
    <row r="16" spans="1:7" ht="15.75" customHeight="1">
      <c r="A16" s="14">
        <v>14</v>
      </c>
      <c r="B16" s="14">
        <v>303</v>
      </c>
      <c r="C16" s="14">
        <v>3</v>
      </c>
      <c r="D16" s="14">
        <v>25</v>
      </c>
      <c r="E16" s="14" t="s">
        <v>6</v>
      </c>
      <c r="F16" s="14"/>
      <c r="G16" s="14" t="s">
        <v>99</v>
      </c>
    </row>
    <row r="17" spans="1:7" ht="15.75" customHeight="1">
      <c r="A17" s="14">
        <v>15</v>
      </c>
      <c r="B17" s="14">
        <v>304</v>
      </c>
      <c r="C17" s="14">
        <v>3</v>
      </c>
      <c r="D17" s="14">
        <v>25</v>
      </c>
      <c r="E17" s="14" t="s">
        <v>7</v>
      </c>
      <c r="F17" s="14" t="s">
        <v>46</v>
      </c>
      <c r="G17" s="14" t="s">
        <v>100</v>
      </c>
    </row>
    <row r="18" spans="1:7" ht="15.75" customHeight="1">
      <c r="A18" s="14">
        <v>16</v>
      </c>
      <c r="B18" s="14">
        <v>305</v>
      </c>
      <c r="C18" s="14">
        <v>3</v>
      </c>
      <c r="D18" s="14">
        <v>24</v>
      </c>
      <c r="E18" s="14" t="s">
        <v>8</v>
      </c>
      <c r="F18" s="14" t="s">
        <v>50</v>
      </c>
      <c r="G18" s="14" t="s">
        <v>100</v>
      </c>
    </row>
    <row r="19" spans="1:7" ht="15.75" customHeight="1">
      <c r="A19" s="14">
        <v>17</v>
      </c>
      <c r="B19" s="14">
        <v>306</v>
      </c>
      <c r="C19" s="14">
        <v>3</v>
      </c>
      <c r="D19" s="14">
        <v>28</v>
      </c>
      <c r="E19" s="14" t="s">
        <v>11</v>
      </c>
      <c r="F19" s="14" t="s">
        <v>101</v>
      </c>
      <c r="G19" s="14" t="s">
        <v>102</v>
      </c>
    </row>
    <row r="20" spans="1:7" ht="15.75" customHeight="1">
      <c r="A20" s="14"/>
      <c r="B20" s="14">
        <v>307</v>
      </c>
      <c r="C20" s="14">
        <v>3</v>
      </c>
      <c r="D20" s="14"/>
      <c r="E20" s="14"/>
      <c r="F20" s="14" t="s">
        <v>103</v>
      </c>
      <c r="G20" s="14" t="s">
        <v>81</v>
      </c>
    </row>
    <row r="21" spans="1:7" ht="15.75" customHeight="1">
      <c r="A21" s="14">
        <v>18</v>
      </c>
      <c r="B21" s="14">
        <v>309</v>
      </c>
      <c r="C21" s="14">
        <v>3</v>
      </c>
      <c r="D21" s="14">
        <v>23</v>
      </c>
      <c r="E21" s="14"/>
      <c r="F21" s="14" t="s">
        <v>66</v>
      </c>
      <c r="G21" s="14" t="s">
        <v>67</v>
      </c>
    </row>
    <row r="22" spans="1:7" ht="15.75" customHeight="1">
      <c r="A22" s="14">
        <v>19</v>
      </c>
      <c r="B22" s="14">
        <v>310</v>
      </c>
      <c r="C22" s="14">
        <v>3</v>
      </c>
      <c r="D22" s="14">
        <v>25</v>
      </c>
      <c r="E22" s="14"/>
      <c r="F22" s="14" t="s">
        <v>43</v>
      </c>
      <c r="G22" s="14" t="s">
        <v>104</v>
      </c>
    </row>
    <row r="23" spans="1:7" ht="15.75" customHeight="1">
      <c r="A23" s="14">
        <v>20</v>
      </c>
      <c r="B23" s="14">
        <v>311</v>
      </c>
      <c r="C23" s="14">
        <v>3</v>
      </c>
      <c r="D23" s="14">
        <v>22</v>
      </c>
      <c r="E23" s="14"/>
      <c r="F23" s="14" t="s">
        <v>60</v>
      </c>
      <c r="G23" s="14" t="s">
        <v>98</v>
      </c>
    </row>
  </sheetData>
  <printOptions horizontalCentered="1" gridLines="1"/>
  <pageMargins left="0.25" right="0.25" top="0.75" bottom="0.75" header="0" footer="0"/>
  <pageSetup paperSize="9" scale="11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7"/>
  <sheetViews>
    <sheetView workbookViewId="0"/>
  </sheetViews>
  <sheetFormatPr baseColWidth="10" defaultColWidth="12.5" defaultRowHeight="15.75" customHeight="1"/>
  <cols>
    <col min="1" max="1" width="7" customWidth="1"/>
    <col min="2" max="2" width="29" customWidth="1"/>
  </cols>
  <sheetData>
    <row r="1" spans="1:2" ht="15.75" customHeight="1">
      <c r="A1" s="15" t="s">
        <v>105</v>
      </c>
      <c r="B1" s="15" t="s">
        <v>106</v>
      </c>
    </row>
    <row r="2" spans="1:2" ht="15.75" customHeight="1">
      <c r="A2" s="16">
        <v>1</v>
      </c>
      <c r="B2" s="17" t="s">
        <v>107</v>
      </c>
    </row>
    <row r="3" spans="1:2" ht="17">
      <c r="A3" s="18"/>
      <c r="B3" s="19" t="s">
        <v>108</v>
      </c>
    </row>
    <row r="4" spans="1:2" ht="15.75" customHeight="1">
      <c r="A4" s="16">
        <v>2</v>
      </c>
      <c r="B4" s="17" t="s">
        <v>109</v>
      </c>
    </row>
    <row r="5" spans="1:2" ht="17">
      <c r="A5" s="18"/>
      <c r="B5" s="19" t="s">
        <v>110</v>
      </c>
    </row>
    <row r="6" spans="1:2" ht="15.75" customHeight="1">
      <c r="A6" s="16">
        <v>3</v>
      </c>
      <c r="B6" s="17" t="s">
        <v>111</v>
      </c>
    </row>
    <row r="7" spans="1:2" ht="15.75" customHeight="1">
      <c r="A7" s="16">
        <v>4</v>
      </c>
      <c r="B7" s="17" t="s">
        <v>112</v>
      </c>
    </row>
    <row r="8" spans="1:2" ht="15.75" customHeight="1">
      <c r="A8" s="16">
        <v>5</v>
      </c>
      <c r="B8" s="17" t="s">
        <v>113</v>
      </c>
    </row>
    <row r="9" spans="1:2" ht="17">
      <c r="A9" s="18"/>
      <c r="B9" s="19" t="s">
        <v>114</v>
      </c>
    </row>
    <row r="10" spans="1:2" ht="15.75" customHeight="1">
      <c r="A10" s="16">
        <v>6</v>
      </c>
      <c r="B10" s="17" t="s">
        <v>115</v>
      </c>
    </row>
    <row r="11" spans="1:2" ht="34">
      <c r="A11" s="18"/>
      <c r="B11" s="19" t="s">
        <v>116</v>
      </c>
    </row>
    <row r="12" spans="1:2" ht="15.75" customHeight="1">
      <c r="A12" s="16">
        <v>7</v>
      </c>
      <c r="B12" s="17" t="s">
        <v>117</v>
      </c>
    </row>
    <row r="13" spans="1:2" ht="15.75" customHeight="1">
      <c r="A13" s="16">
        <v>8</v>
      </c>
      <c r="B13" s="17" t="s">
        <v>118</v>
      </c>
    </row>
    <row r="14" spans="1:2" ht="15.75" customHeight="1">
      <c r="A14" s="16">
        <v>9</v>
      </c>
      <c r="B14" s="17" t="s">
        <v>119</v>
      </c>
    </row>
    <row r="15" spans="1:2" ht="17">
      <c r="A15" s="18"/>
      <c r="B15" s="17" t="s">
        <v>120</v>
      </c>
    </row>
    <row r="16" spans="1:2" ht="15.75" customHeight="1">
      <c r="A16" s="16">
        <v>10</v>
      </c>
      <c r="B16" s="17" t="s">
        <v>121</v>
      </c>
    </row>
    <row r="17" spans="1:2" ht="15.75" customHeight="1">
      <c r="A17" s="16">
        <v>11</v>
      </c>
      <c r="B17" s="1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Жүктеме 2025-2026</vt:lpstr>
      <vt:lpstr>ТУП сілтеме</vt:lpstr>
      <vt:lpstr>Кабинеттер тізімі</vt:lpstr>
      <vt:lpstr>Күн тәртібі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Айниса Турсынали</cp:lastModifiedBy>
  <dcterms:created xsi:type="dcterms:W3CDTF">2026-04-17T15:47:59Z</dcterms:created>
  <dcterms:modified xsi:type="dcterms:W3CDTF">2026-04-17T15:47:59Z</dcterms:modified>
</cp:coreProperties>
</file>